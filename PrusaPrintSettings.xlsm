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Gerald Gradl\Sandboxes\Prusa\Configs\"/>
    </mc:Choice>
  </mc:AlternateContent>
  <xr:revisionPtr revIDLastSave="0" documentId="13_ncr:1_{96C681D0-4BC8-4A43-B595-5E3BDF6BF9C8}" xr6:coauthVersionLast="46" xr6:coauthVersionMax="46" xr10:uidLastSave="{00000000-0000-0000-0000-000000000000}"/>
  <bookViews>
    <workbookView xWindow="450" yWindow="2085" windowWidth="22890" windowHeight="18900" xr2:uid="{9953FFFF-361A-4A36-9DBE-05D662C2E397}"/>
  </bookViews>
  <sheets>
    <sheet name="Configurations" sheetId="4" r:id="rId1"/>
    <sheet name="Import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7" i="4" l="1"/>
  <c r="C132" i="4"/>
  <c r="C127" i="4"/>
  <c r="D127" i="4"/>
  <c r="D137" i="4"/>
  <c r="D132" i="4"/>
  <c r="O137" i="4"/>
  <c r="N137" i="4"/>
  <c r="M137" i="4"/>
  <c r="L137" i="4"/>
  <c r="K137" i="4"/>
  <c r="J137" i="4"/>
  <c r="I137" i="4"/>
  <c r="H137" i="4"/>
  <c r="G137" i="4"/>
  <c r="F137" i="4"/>
  <c r="E137" i="4"/>
  <c r="B137" i="4"/>
  <c r="O132" i="4"/>
  <c r="N132" i="4"/>
  <c r="M132" i="4"/>
  <c r="L132" i="4"/>
  <c r="K132" i="4"/>
  <c r="J132" i="4"/>
  <c r="I132" i="4"/>
  <c r="H132" i="4"/>
  <c r="G132" i="4"/>
  <c r="F132" i="4"/>
  <c r="E132" i="4"/>
  <c r="B132" i="4"/>
  <c r="G127" i="4"/>
  <c r="F127" i="4"/>
  <c r="E127" i="4"/>
  <c r="B127" i="4"/>
  <c r="O127" i="4"/>
  <c r="N127" i="4"/>
  <c r="M127" i="4"/>
  <c r="L127" i="4"/>
  <c r="K127" i="4"/>
  <c r="J127" i="4"/>
  <c r="I127" i="4"/>
  <c r="H127" i="4"/>
</calcChain>
</file>

<file path=xl/sharedStrings.xml><?xml version="1.0" encoding="utf-8"?>
<sst xmlns="http://schemas.openxmlformats.org/spreadsheetml/2006/main" count="735" uniqueCount="340">
  <si>
    <t>0.4</t>
  </si>
  <si>
    <t>printer_notes=~/.*PRINTER_VENDOR_PRUSA3D.*/ and printer_notes=~/.*PRINTER_MODEL_MK3.*/ and nozzle_diameter[0]==0.4</t>
  </si>
  <si>
    <t>rectilinear</t>
  </si>
  <si>
    <t>0.5</t>
  </si>
  <si>
    <t>0.95</t>
  </si>
  <si>
    <t>0.2</t>
  </si>
  <si>
    <t>0.45</t>
  </si>
  <si>
    <t>cubic</t>
  </si>
  <si>
    <t>0.42</t>
  </si>
  <si>
    <t>0.1</t>
  </si>
  <si>
    <t>top</t>
  </si>
  <si>
    <t>0.24</t>
  </si>
  <si>
    <t>{input_filename_base}_{layer_height}mm_{filament_type[0]}_{printer_model}_{print_time}.gcode</t>
  </si>
  <si>
    <t>nearest</t>
  </si>
  <si>
    <t>0.049</t>
  </si>
  <si>
    <t>0.35</t>
  </si>
  <si>
    <t>0.6</t>
  </si>
  <si>
    <t>0.8</t>
  </si>
  <si>
    <t>0.16</t>
  </si>
  <si>
    <t>0.32</t>
  </si>
  <si>
    <t>0.38</t>
  </si>
  <si>
    <t>monotonic</t>
  </si>
  <si>
    <t>gyroid</t>
  </si>
  <si>
    <t>0.7</t>
  </si>
  <si>
    <t>grid</t>
  </si>
  <si>
    <t>0.3</t>
  </si>
  <si>
    <t>0.30mm DRAFT @MK3</t>
  </si>
  <si>
    <t>0.15mm SPEED @MK3</t>
  </si>
  <si>
    <t>avoid_crossing_perimeters</t>
  </si>
  <si>
    <t>avoid_crossing_perimeters_max_detour</t>
  </si>
  <si>
    <t>bottom_fill_pattern</t>
  </si>
  <si>
    <t>bottom_solid_layers</t>
  </si>
  <si>
    <t>bottom_solid_min_thickness</t>
  </si>
  <si>
    <t>bridge_acceleration</t>
  </si>
  <si>
    <t>bridge_angle</t>
  </si>
  <si>
    <t>bridge_flow_ratio</t>
  </si>
  <si>
    <t>bridge_speed</t>
  </si>
  <si>
    <t>brim_width</t>
  </si>
  <si>
    <t>clip_multipart_objects</t>
  </si>
  <si>
    <t>compatible_printers</t>
  </si>
  <si>
    <t>compatible_printers_condition</t>
  </si>
  <si>
    <t>complete_objects</t>
  </si>
  <si>
    <t>default_acceleration</t>
  </si>
  <si>
    <t>dont_support_bridges</t>
  </si>
  <si>
    <t>draft_shield</t>
  </si>
  <si>
    <t>elefant_foot_compensation</t>
  </si>
  <si>
    <t>ensure_vertical_shell_thickness</t>
  </si>
  <si>
    <t>external_perimeter_extrusion_width</t>
  </si>
  <si>
    <t>external_perimeter_speed</t>
  </si>
  <si>
    <t>external_perimeters_first</t>
  </si>
  <si>
    <t>extra_perimeters</t>
  </si>
  <si>
    <t>extruder_clearance_height</t>
  </si>
  <si>
    <t>extruder_clearance_radius</t>
  </si>
  <si>
    <t>extrusion_width</t>
  </si>
  <si>
    <t>fill_angle</t>
  </si>
  <si>
    <t>fill_density</t>
  </si>
  <si>
    <t>fill_pattern</t>
  </si>
  <si>
    <t>first_layer_acceleration</t>
  </si>
  <si>
    <t>first_layer_extrusion_width</t>
  </si>
  <si>
    <t>first_layer_height</t>
  </si>
  <si>
    <t>first_layer_speed</t>
  </si>
  <si>
    <t>gap_fill_speed</t>
  </si>
  <si>
    <t>gcode_comments</t>
  </si>
  <si>
    <t>gcode_label_objects</t>
  </si>
  <si>
    <t>infill_acceleration</t>
  </si>
  <si>
    <t>infill_anchor</t>
  </si>
  <si>
    <t>infill_anchor_max</t>
  </si>
  <si>
    <t>infill_every_layers</t>
  </si>
  <si>
    <t>infill_extruder</t>
  </si>
  <si>
    <t>infill_extrusion_width</t>
  </si>
  <si>
    <t>infill_first</t>
  </si>
  <si>
    <t>infill_only_where_needed</t>
  </si>
  <si>
    <t>infill_overlap</t>
  </si>
  <si>
    <t>infill_speed</t>
  </si>
  <si>
    <t>inherits</t>
  </si>
  <si>
    <t>interface_shells</t>
  </si>
  <si>
    <t>ironing</t>
  </si>
  <si>
    <t>ironing_flowrate</t>
  </si>
  <si>
    <t>ironing_spacing</t>
  </si>
  <si>
    <t>ironing_speed</t>
  </si>
  <si>
    <t>ironing_type</t>
  </si>
  <si>
    <t>layer_height</t>
  </si>
  <si>
    <t>max_print_speed</t>
  </si>
  <si>
    <t>max_volumetric_speed</t>
  </si>
  <si>
    <t>min_skirt_length</t>
  </si>
  <si>
    <t>notes</t>
  </si>
  <si>
    <t>only_retract_when_crossing_perimeters</t>
  </si>
  <si>
    <t>ooze_prevention</t>
  </si>
  <si>
    <t>output_filename_format</t>
  </si>
  <si>
    <t>overhangs</t>
  </si>
  <si>
    <t>perimeter_acceleration</t>
  </si>
  <si>
    <t>perimeter_extruder</t>
  </si>
  <si>
    <t>perimeter_extrusion_width</t>
  </si>
  <si>
    <t>perimeter_speed</t>
  </si>
  <si>
    <t>perimeters</t>
  </si>
  <si>
    <t>post_process</t>
  </si>
  <si>
    <t>print_settings_id</t>
  </si>
  <si>
    <t>raft_layers</t>
  </si>
  <si>
    <t>resolution</t>
  </si>
  <si>
    <t>seam_position</t>
  </si>
  <si>
    <t>single_extruder_multi_material_priming</t>
  </si>
  <si>
    <t>skirt_distance</t>
  </si>
  <si>
    <t>skirt_height</t>
  </si>
  <si>
    <t>skirts</t>
  </si>
  <si>
    <t>slice_closing_radius</t>
  </si>
  <si>
    <t>small_perimeter_speed</t>
  </si>
  <si>
    <t>solid_infill_below_area</t>
  </si>
  <si>
    <t>solid_infill_every_layers</t>
  </si>
  <si>
    <t>solid_infill_extruder</t>
  </si>
  <si>
    <t>solid_infill_extrusion_width</t>
  </si>
  <si>
    <t>solid_infill_speed</t>
  </si>
  <si>
    <t>spiral_vase</t>
  </si>
  <si>
    <t>standby_temperature_delta</t>
  </si>
  <si>
    <t>support_material</t>
  </si>
  <si>
    <t>support_material_angle</t>
  </si>
  <si>
    <t>support_material_auto</t>
  </si>
  <si>
    <t>support_material_buildplate_only</t>
  </si>
  <si>
    <t>support_material_contact_distance</t>
  </si>
  <si>
    <t>support_material_enforce_layers</t>
  </si>
  <si>
    <t>support_material_extruder</t>
  </si>
  <si>
    <t>support_material_extrusion_width</t>
  </si>
  <si>
    <t>support_material_interface_contact_loops</t>
  </si>
  <si>
    <t>support_material_interface_extruder</t>
  </si>
  <si>
    <t>support_material_interface_layers</t>
  </si>
  <si>
    <t>support_material_interface_spacing</t>
  </si>
  <si>
    <t>support_material_interface_speed</t>
  </si>
  <si>
    <t>support_material_pattern</t>
  </si>
  <si>
    <t>support_material_spacing</t>
  </si>
  <si>
    <t>support_material_speed</t>
  </si>
  <si>
    <t>support_material_synchronize_layers</t>
  </si>
  <si>
    <t>support_material_threshold</t>
  </si>
  <si>
    <t>support_material_with_sheath</t>
  </si>
  <si>
    <t>support_material_xy_spacing</t>
  </si>
  <si>
    <t>thin_walls</t>
  </si>
  <si>
    <t>threads</t>
  </si>
  <si>
    <t>top_fill_pattern</t>
  </si>
  <si>
    <t>top_infill_extrusion_width</t>
  </si>
  <si>
    <t>top_solid_infill_speed</t>
  </si>
  <si>
    <t>top_solid_layers</t>
  </si>
  <si>
    <t>top_solid_min_thickness</t>
  </si>
  <si>
    <t>travel_speed</t>
  </si>
  <si>
    <t>wipe_tower</t>
  </si>
  <si>
    <t>wipe_tower_bridging</t>
  </si>
  <si>
    <t>wipe_tower_no_sparse_layers</t>
  </si>
  <si>
    <t>wipe_tower_rotation_angle</t>
  </si>
  <si>
    <t>wipe_tower_width</t>
  </si>
  <si>
    <t>wipe_tower_x</t>
  </si>
  <si>
    <t>wipe_tower_y</t>
  </si>
  <si>
    <t>xy_size_compensation</t>
  </si>
  <si>
    <t>0.20mm SPEED @MK3</t>
  </si>
  <si>
    <t>printer_notes=~/.*PRINTER_VENDOR_PRUSA3D.*/ and printer_notes=~/.*PRINTER_MODEL_MK3.*/  and nozzle_diameter[0]==0.4 and ! single_extruder_multi_material</t>
  </si>
  <si>
    <t>0.05</t>
  </si>
  <si>
    <t>[print:0.05mm ULTRADETAIL @MK3]</t>
  </si>
  <si>
    <t>[print:0.32mm DRAFT @MK3]</t>
  </si>
  <si>
    <t>2.5</t>
  </si>
  <si>
    <t>0.05mm ULTRADETAIL @MK3</t>
  </si>
  <si>
    <t>0.07mmULTRADETAIL@MK3</t>
  </si>
  <si>
    <t>0.07</t>
  </si>
  <si>
    <t>[print:0.07mm ULTRADETAIL @MK3]</t>
  </si>
  <si>
    <t>avoid_crossing_perimeters = 0</t>
  </si>
  <si>
    <t>avoid_crossing_perimeters_max_detour = 0</t>
  </si>
  <si>
    <t>bottom_fill_pattern = monotonic</t>
  </si>
  <si>
    <t>bottom_solid_min_thickness = 0.5</t>
  </si>
  <si>
    <t>bridge_angle = 0</t>
  </si>
  <si>
    <t>brim_width = 0</t>
  </si>
  <si>
    <t>clip_multipart_objects = 1</t>
  </si>
  <si>
    <t xml:space="preserve">compatible_printers = </t>
  </si>
  <si>
    <t>complete_objects = 0</t>
  </si>
  <si>
    <t>default_acceleration = 1000</t>
  </si>
  <si>
    <t>dont_support_bridges = 1</t>
  </si>
  <si>
    <t>draft_shield = 0</t>
  </si>
  <si>
    <t>elefant_foot_compensation = 0.2</t>
  </si>
  <si>
    <t>ensure_vertical_shell_thickness = 1</t>
  </si>
  <si>
    <t>external_perimeters_first = 0</t>
  </si>
  <si>
    <t>extra_perimeters = 0</t>
  </si>
  <si>
    <t>extruder_clearance_height = 20</t>
  </si>
  <si>
    <t>extruder_clearance_radius = 45</t>
  </si>
  <si>
    <t>fill_angle = 45</t>
  </si>
  <si>
    <t>first_layer_extrusion_width = 0.42</t>
  </si>
  <si>
    <t>first_layer_height = 0.2</t>
  </si>
  <si>
    <t>first_layer_speed = 20</t>
  </si>
  <si>
    <t>gcode_comments = 0</t>
  </si>
  <si>
    <t>gcode_label_objects = 1</t>
  </si>
  <si>
    <t>infill_anchor = 2.5</t>
  </si>
  <si>
    <t>infill_anchor_max = 12</t>
  </si>
  <si>
    <t>infill_every_layers = 1</t>
  </si>
  <si>
    <t>infill_extruder = 1</t>
  </si>
  <si>
    <t>infill_first = 0</t>
  </si>
  <si>
    <t>infill_only_where_needed = 0</t>
  </si>
  <si>
    <t>infill_overlap = 25%</t>
  </si>
  <si>
    <t>interface_shells = 0</t>
  </si>
  <si>
    <t>ironing = 0</t>
  </si>
  <si>
    <t>ironing_flowrate = 15%</t>
  </si>
  <si>
    <t>ironing_spacing = 0.1</t>
  </si>
  <si>
    <t>ironing_speed = 15</t>
  </si>
  <si>
    <t>ironing_type = top</t>
  </si>
  <si>
    <t>max_volumetric_speed = 0</t>
  </si>
  <si>
    <t>min_skirt_length = 4</t>
  </si>
  <si>
    <t xml:space="preserve">notes = </t>
  </si>
  <si>
    <t>only_retract_when_crossing_perimeters = 0</t>
  </si>
  <si>
    <t>ooze_prevention = 0</t>
  </si>
  <si>
    <t>output_filename_format = {input_filename_base}_{layer_height}mm_{filament_type[0]}_{printer_model}_{print_time}.gcode</t>
  </si>
  <si>
    <t>overhangs = 0</t>
  </si>
  <si>
    <t>perimeter_extruder = 1</t>
  </si>
  <si>
    <t xml:space="preserve">post_process = </t>
  </si>
  <si>
    <t xml:space="preserve">print_settings_id = </t>
  </si>
  <si>
    <t>raft_layers = 0</t>
  </si>
  <si>
    <t>resolution = 0</t>
  </si>
  <si>
    <t>seam_position = nearest</t>
  </si>
  <si>
    <t>single_extruder_multi_material_priming = 0</t>
  </si>
  <si>
    <t>skirt_distance = 2</t>
  </si>
  <si>
    <t>skirt_height = 3</t>
  </si>
  <si>
    <t>skirts = 1</t>
  </si>
  <si>
    <t>slice_closing_radius = 0.049</t>
  </si>
  <si>
    <t>solid_infill_below_area = 0</t>
  </si>
  <si>
    <t>solid_infill_every_layers = 0</t>
  </si>
  <si>
    <t>solid_infill_extruder = 1</t>
  </si>
  <si>
    <t>spiral_vase = 0</t>
  </si>
  <si>
    <t>standby_temperature_delta = -5</t>
  </si>
  <si>
    <t>support_material = 0</t>
  </si>
  <si>
    <t>support_material_angle = 0</t>
  </si>
  <si>
    <t>support_material_auto = 1</t>
  </si>
  <si>
    <t>support_material_buildplate_only = 0</t>
  </si>
  <si>
    <t>support_material_contact_distance = 0.1</t>
  </si>
  <si>
    <t>support_material_enforce_layers = 0</t>
  </si>
  <si>
    <t>support_material_extruder = 0</t>
  </si>
  <si>
    <t>support_material_interface_contact_loops = 0</t>
  </si>
  <si>
    <t>support_material_interface_extruder = 0</t>
  </si>
  <si>
    <t>support_material_interface_layers = 2</t>
  </si>
  <si>
    <t>support_material_interface_spacing = 0.2</t>
  </si>
  <si>
    <t>support_material_interface_speed = 100%</t>
  </si>
  <si>
    <t>support_material_pattern = rectilinear</t>
  </si>
  <si>
    <t>support_material_synchronize_layers = 0</t>
  </si>
  <si>
    <t>support_material_threshold = 55</t>
  </si>
  <si>
    <t>support_material_with_sheath = 0</t>
  </si>
  <si>
    <t>support_material_xy_spacing = 50%</t>
  </si>
  <si>
    <t>thin_walls = 0</t>
  </si>
  <si>
    <t>threads = 4</t>
  </si>
  <si>
    <t>top_fill_pattern = monotonic</t>
  </si>
  <si>
    <t>top_solid_min_thickness = 0.7</t>
  </si>
  <si>
    <t>travel_speed = 180</t>
  </si>
  <si>
    <t>wipe_tower = 1</t>
  </si>
  <si>
    <t>wipe_tower_bridging = 10</t>
  </si>
  <si>
    <t>wipe_tower_no_sparse_layers = 0</t>
  </si>
  <si>
    <t>wipe_tower_rotation_angle = 0</t>
  </si>
  <si>
    <t>wipe_tower_width = 60</t>
  </si>
  <si>
    <t>wipe_tower_x = 170</t>
  </si>
  <si>
    <t>wipe_tower_y = 125</t>
  </si>
  <si>
    <t>xy_size_compensation = 0</t>
  </si>
  <si>
    <t>0.10mm DETAIL @MK3</t>
  </si>
  <si>
    <t>[print:0.10mm DETAIL @MK3]</t>
  </si>
  <si>
    <t>0.15mm QUALITY @MK3</t>
  </si>
  <si>
    <t>0.15</t>
  </si>
  <si>
    <t>[print:0.15mm QUALITY @MK3]</t>
  </si>
  <si>
    <t>[print:0.15mm SPEED @MK3]</t>
  </si>
  <si>
    <t>0.20mm QUALITY @MK3</t>
  </si>
  <si>
    <t>[print:0.20mm QUALITY @MK3]</t>
  </si>
  <si>
    <t>[print:0.20mm SPEED @MK3]</t>
  </si>
  <si>
    <t>[print:0.30mm DRAFT @MK3]</t>
  </si>
  <si>
    <t>Time</t>
  </si>
  <si>
    <t>Filament [g]</t>
  </si>
  <si>
    <t>33m</t>
  </si>
  <si>
    <t>25m</t>
  </si>
  <si>
    <t>20m</t>
  </si>
  <si>
    <t>19m</t>
  </si>
  <si>
    <t>2h19m</t>
  </si>
  <si>
    <t>1h39m</t>
  </si>
  <si>
    <t>42m</t>
  </si>
  <si>
    <t>43m</t>
  </si>
  <si>
    <t>32m</t>
  </si>
  <si>
    <t>22m</t>
  </si>
  <si>
    <t>x-y-z Cube</t>
  </si>
  <si>
    <t>Benchy</t>
  </si>
  <si>
    <t>1h36m</t>
  </si>
  <si>
    <t>54m</t>
  </si>
  <si>
    <t>47m</t>
  </si>
  <si>
    <t>2h58m</t>
  </si>
  <si>
    <t>1h56m</t>
  </si>
  <si>
    <t>1h33m</t>
  </si>
  <si>
    <t>1h28m</t>
  </si>
  <si>
    <t>56m</t>
  </si>
  <si>
    <t>7h24m</t>
  </si>
  <si>
    <t>5h12m</t>
  </si>
  <si>
    <t>9h43m</t>
  </si>
  <si>
    <t>6h48m</t>
  </si>
  <si>
    <t>3h47m</t>
  </si>
  <si>
    <t>2h37m</t>
  </si>
  <si>
    <t>1h02m</t>
  </si>
  <si>
    <t>1h07m</t>
  </si>
  <si>
    <t>2h03m</t>
  </si>
  <si>
    <t>2h27m</t>
  </si>
  <si>
    <t>Time [h]</t>
  </si>
  <si>
    <t>2h00m</t>
  </si>
  <si>
    <t>1h51m</t>
  </si>
  <si>
    <t>1h12m</t>
  </si>
  <si>
    <t>1h21m</t>
  </si>
  <si>
    <t>1h06m</t>
  </si>
  <si>
    <t>[print:0.16mm HIGH SPEED @MK3]</t>
  </si>
  <si>
    <t>[print:0.20mm HIGH SPEED @MK3]</t>
  </si>
  <si>
    <t>[print:0.24mm HIGH SPEED @MK3]</t>
  </si>
  <si>
    <t>[print:0.32mm HIGH SPEED @MK3]</t>
  </si>
  <si>
    <t>[print:0.05mm ULTRADETAIL @MK3 - EXPORT]</t>
  </si>
  <si>
    <t>bottom_solid_layers = 10</t>
  </si>
  <si>
    <t>bridge_acceleration = 300</t>
  </si>
  <si>
    <t>bridge_flow_ratio = 0.7</t>
  </si>
  <si>
    <t>bridge_speed = 20</t>
  </si>
  <si>
    <t>compatible_printers_condition = printer_notes=~/.*PRINTER_VENDOR_PRUSA3D.*/ and printer_notes=~/.*PRINTER_MODEL_MK3.*/  and nozzle_diameter[0]==0.4 and ! single_extruder_multi_material</t>
  </si>
  <si>
    <t>external_perimeter_extrusion_width = 0.45</t>
  </si>
  <si>
    <t>external_perimeter_speed = 20</t>
  </si>
  <si>
    <t>extrusion_width = 0.45</t>
  </si>
  <si>
    <t>fill_density = 15%</t>
  </si>
  <si>
    <t>fill_pattern = gyroid</t>
  </si>
  <si>
    <t>first_layer_acceleration = 500</t>
  </si>
  <si>
    <t>gap_fill_speed = 20</t>
  </si>
  <si>
    <t>infill_acceleration = 800</t>
  </si>
  <si>
    <t>infill_extrusion_width = 0.45</t>
  </si>
  <si>
    <t>infill_speed = 30</t>
  </si>
  <si>
    <t>inherits = 0.05mm ULTRADETAIL @MK3</t>
  </si>
  <si>
    <t>layer_height = 0.05</t>
  </si>
  <si>
    <t>max_print_speed = 80</t>
  </si>
  <si>
    <t>perimeter_acceleration = 300</t>
  </si>
  <si>
    <t>perimeter_extrusion_width = 0.45</t>
  </si>
  <si>
    <t>perimeter_speed = 30</t>
  </si>
  <si>
    <t>perimeters = 3</t>
  </si>
  <si>
    <t>small_perimeter_speed = 20</t>
  </si>
  <si>
    <t>solid_infill_extrusion_width = 0.45</t>
  </si>
  <si>
    <t>solid_infill_speed = 30</t>
  </si>
  <si>
    <t>support_material_extrusion_width = 0.3</t>
  </si>
  <si>
    <t>support_material_spacing = 1.5</t>
  </si>
  <si>
    <t>support_material_speed = 30</t>
  </si>
  <si>
    <t>top_infill_extrusion_width = 0.4</t>
  </si>
  <si>
    <t>top_solid_infill_speed = 20</t>
  </si>
  <si>
    <t>top_solid_layers = 15</t>
  </si>
  <si>
    <t>1.5</t>
  </si>
  <si>
    <t>1h16m</t>
  </si>
  <si>
    <t>x-y-z Cube &amp; Benchy - PrusaSlicer 2.3.0 Auto Placed</t>
  </si>
  <si>
    <t>27m</t>
  </si>
  <si>
    <t>[print:0.20mm FASTER SPEED @MK3]</t>
  </si>
  <si>
    <t>1h32m</t>
  </si>
  <si>
    <t>1h17m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</si>
</sst>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left"/>
    </xf>
    <xf numFmtId="9" fontId="0" fillId="0" borderId="0" xfId="1" applyFont="1" applyAlignment="1">
      <alignment horizontal="left"/>
    </xf>
    <xf numFmtId="0" fontId="0" fillId="0" borderId="0" xfId="0" applyNumberFormat="1" applyAlignment="1">
      <alignment horizontal="left"/>
    </xf>
    <xf numFmtId="49" fontId="0" fillId="0" borderId="0" xfId="1" applyNumberFormat="1" applyFont="1" applyAlignment="1">
      <alignment horizontal="left"/>
    </xf>
    <xf numFmtId="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 textRotation="90"/>
    </xf>
    <xf numFmtId="0" fontId="0" fillId="0" borderId="0" xfId="0" applyAlignment="1">
      <alignment horizontal="left" textRotation="90"/>
    </xf>
    <xf numFmtId="2" fontId="0" fillId="0" borderId="0" xfId="0" applyNumberFormat="1" applyAlignment="1">
      <alignment horizontal="left"/>
    </xf>
    <xf numFmtId="0" fontId="4" fillId="0" borderId="0" xfId="2"/>
  </cellXfs>
  <cellStyles count="3">
    <cellStyle name="Link" xfId="2" builtinId="8"/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8705161854761E-2"/>
          <c:y val="6.4814814814814811E-2"/>
          <c:w val="0.90286351706036749"/>
          <c:h val="0.65872892632606983"/>
        </c:manualLayout>
      </c:layout>
      <c:lineChart>
        <c:grouping val="standard"/>
        <c:varyColors val="0"/>
        <c:ser>
          <c:idx val="0"/>
          <c:order val="0"/>
          <c:tx>
            <c:strRef>
              <c:f>Configurations!$A$130</c:f>
              <c:strCache>
                <c:ptCount val="1"/>
                <c:pt idx="0">
                  <c:v>Filament [g]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Configurations!$B$1:$O$1</c:f>
              <c:strCache>
                <c:ptCount val="14"/>
                <c:pt idx="0">
                  <c:v>[print:0.16mm HIGH SPEED @MK3]</c:v>
                </c:pt>
                <c:pt idx="1">
                  <c:v>[print:0.20mm FASTER SPEED @MK3]</c:v>
                </c:pt>
                <c:pt idx="2">
                  <c:v>[print:0.20mm HIGH SPEED @MK3]</c:v>
                </c:pt>
                <c:pt idx="3">
                  <c:v>[print:0.24mm HIGH SPEED @MK3]</c:v>
                </c:pt>
                <c:pt idx="4">
                  <c:v>[print:0.32mm HIGH SPEED @MK3]</c:v>
                </c:pt>
                <c:pt idx="5">
                  <c:v>[print:0.32mm DRAFT @MK3]</c:v>
                </c:pt>
                <c:pt idx="6">
                  <c:v>[print:0.05mm ULTRADETAIL @MK3]</c:v>
                </c:pt>
                <c:pt idx="7">
                  <c:v>[print:0.07mm ULTRADETAIL @MK3]</c:v>
                </c:pt>
                <c:pt idx="8">
                  <c:v>[print:0.10mm DETAIL @MK3]</c:v>
                </c:pt>
                <c:pt idx="9">
                  <c:v>[print:0.15mm QUALITY @MK3]</c:v>
                </c:pt>
                <c:pt idx="10">
                  <c:v>[print:0.15mm SPEED @MK3]</c:v>
                </c:pt>
                <c:pt idx="11">
                  <c:v>[print:0.20mm QUALITY @MK3]</c:v>
                </c:pt>
                <c:pt idx="12">
                  <c:v>[print:0.20mm SPEED @MK3]</c:v>
                </c:pt>
                <c:pt idx="13">
                  <c:v>[print:0.30mm DRAFT @MK3]</c:v>
                </c:pt>
              </c:strCache>
            </c:strRef>
          </c:cat>
          <c:val>
            <c:numRef>
              <c:f>Configurations!$B$130:$O$130</c:f>
              <c:numCache>
                <c:formatCode>General</c:formatCode>
                <c:ptCount val="14"/>
                <c:pt idx="0">
                  <c:v>11.48</c:v>
                </c:pt>
                <c:pt idx="1">
                  <c:v>11.82</c:v>
                </c:pt>
                <c:pt idx="2">
                  <c:v>11.26</c:v>
                </c:pt>
                <c:pt idx="3">
                  <c:v>11.92</c:v>
                </c:pt>
                <c:pt idx="4">
                  <c:v>12.47</c:v>
                </c:pt>
                <c:pt idx="5">
                  <c:v>12.14</c:v>
                </c:pt>
                <c:pt idx="6">
                  <c:v>13.05</c:v>
                </c:pt>
                <c:pt idx="7">
                  <c:v>13.04</c:v>
                </c:pt>
                <c:pt idx="8">
                  <c:v>12.6</c:v>
                </c:pt>
                <c:pt idx="9">
                  <c:v>12.8</c:v>
                </c:pt>
                <c:pt idx="10">
                  <c:v>13.22</c:v>
                </c:pt>
                <c:pt idx="11">
                  <c:v>12.53</c:v>
                </c:pt>
                <c:pt idx="12">
                  <c:v>12.99</c:v>
                </c:pt>
                <c:pt idx="13">
                  <c:v>13.47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9C-4980-AF4B-9EDAE9A84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209976"/>
        <c:axId val="672210632"/>
      </c:lineChart>
      <c:lineChart>
        <c:grouping val="standard"/>
        <c:varyColors val="0"/>
        <c:ser>
          <c:idx val="1"/>
          <c:order val="1"/>
          <c:tx>
            <c:strRef>
              <c:f>Configurations!$A$132</c:f>
              <c:strCache>
                <c:ptCount val="1"/>
                <c:pt idx="0">
                  <c:v>Time [h]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Configurations!$B$1:$O$1</c:f>
              <c:strCache>
                <c:ptCount val="14"/>
                <c:pt idx="0">
                  <c:v>[print:0.16mm HIGH SPEED @MK3]</c:v>
                </c:pt>
                <c:pt idx="1">
                  <c:v>[print:0.20mm FASTER SPEED @MK3]</c:v>
                </c:pt>
                <c:pt idx="2">
                  <c:v>[print:0.20mm HIGH SPEED @MK3]</c:v>
                </c:pt>
                <c:pt idx="3">
                  <c:v>[print:0.24mm HIGH SPEED @MK3]</c:v>
                </c:pt>
                <c:pt idx="4">
                  <c:v>[print:0.32mm HIGH SPEED @MK3]</c:v>
                </c:pt>
                <c:pt idx="5">
                  <c:v>[print:0.32mm DRAFT @MK3]</c:v>
                </c:pt>
                <c:pt idx="6">
                  <c:v>[print:0.05mm ULTRADETAIL @MK3]</c:v>
                </c:pt>
                <c:pt idx="7">
                  <c:v>[print:0.07mm ULTRADETAIL @MK3]</c:v>
                </c:pt>
                <c:pt idx="8">
                  <c:v>[print:0.10mm DETAIL @MK3]</c:v>
                </c:pt>
                <c:pt idx="9">
                  <c:v>[print:0.15mm QUALITY @MK3]</c:v>
                </c:pt>
                <c:pt idx="10">
                  <c:v>[print:0.15mm SPEED @MK3]</c:v>
                </c:pt>
                <c:pt idx="11">
                  <c:v>[print:0.20mm QUALITY @MK3]</c:v>
                </c:pt>
                <c:pt idx="12">
                  <c:v>[print:0.20mm SPEED @MK3]</c:v>
                </c:pt>
                <c:pt idx="13">
                  <c:v>[print:0.30mm DRAFT @MK3]</c:v>
                </c:pt>
              </c:strCache>
            </c:strRef>
          </c:cat>
          <c:val>
            <c:numRef>
              <c:f>Configurations!$B$132:$O$132</c:f>
              <c:numCache>
                <c:formatCode>0.00</c:formatCode>
                <c:ptCount val="14"/>
                <c:pt idx="0">
                  <c:v>1.6</c:v>
                </c:pt>
                <c:pt idx="1">
                  <c:v>1.2833333333333332</c:v>
                </c:pt>
                <c:pt idx="2">
                  <c:v>1.2666666666666666</c:v>
                </c:pt>
                <c:pt idx="3">
                  <c:v>1.1166666666666667</c:v>
                </c:pt>
                <c:pt idx="4">
                  <c:v>0.9</c:v>
                </c:pt>
                <c:pt idx="5">
                  <c:v>0.78333333333333333</c:v>
                </c:pt>
                <c:pt idx="6">
                  <c:v>7.4</c:v>
                </c:pt>
                <c:pt idx="7">
                  <c:v>5.2</c:v>
                </c:pt>
                <c:pt idx="8">
                  <c:v>2.9666666666666668</c:v>
                </c:pt>
                <c:pt idx="9">
                  <c:v>2.0499999999999998</c:v>
                </c:pt>
                <c:pt idx="10">
                  <c:v>1.9333333333333333</c:v>
                </c:pt>
                <c:pt idx="11">
                  <c:v>1.55</c:v>
                </c:pt>
                <c:pt idx="12">
                  <c:v>1.4666666666666668</c:v>
                </c:pt>
                <c:pt idx="13">
                  <c:v>0.93333333333333335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9C-4980-AF4B-9EDAE9A84A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595040"/>
        <c:axId val="594594712"/>
      </c:lineChart>
      <c:catAx>
        <c:axId val="672209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72210632"/>
        <c:crosses val="autoZero"/>
        <c:auto val="1"/>
        <c:lblAlgn val="ctr"/>
        <c:lblOffset val="100"/>
        <c:noMultiLvlLbl val="0"/>
      </c:catAx>
      <c:valAx>
        <c:axId val="672210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72209976"/>
        <c:crosses val="autoZero"/>
        <c:crossBetween val="between"/>
      </c:valAx>
      <c:valAx>
        <c:axId val="594594712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94595040"/>
        <c:crosses val="max"/>
        <c:crossBetween val="between"/>
      </c:valAx>
      <c:catAx>
        <c:axId val="5945950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94594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114300</xdr:rowOff>
        </xdr:from>
        <xdr:to>
          <xdr:col>0</xdr:col>
          <xdr:colOff>2514600</xdr:colOff>
          <xdr:row>0</xdr:row>
          <xdr:rowOff>514350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Current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600075</xdr:rowOff>
        </xdr:from>
        <xdr:to>
          <xdr:col>0</xdr:col>
          <xdr:colOff>2514600</xdr:colOff>
          <xdr:row>0</xdr:row>
          <xdr:rowOff>1000125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Various Columns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104775</xdr:colOff>
      <xdr:row>110</xdr:row>
      <xdr:rowOff>9526</xdr:rowOff>
    </xdr:from>
    <xdr:to>
      <xdr:col>25</xdr:col>
      <xdr:colOff>180975</xdr:colOff>
      <xdr:row>138</xdr:row>
      <xdr:rowOff>114300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0</xdr:row>
          <xdr:rowOff>76200</xdr:rowOff>
        </xdr:from>
        <xdr:to>
          <xdr:col>9</xdr:col>
          <xdr:colOff>676275</xdr:colOff>
          <xdr:row>1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www.thingiverse.com/thing:1278865" TargetMode="External"/><Relationship Id="rId1" Type="http://schemas.openxmlformats.org/officeDocument/2006/relationships/hyperlink" Target="https://github.com/CreativeTools/3DBenchy/blob/master/Single-part/3DBenchy.stl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95C11-84F5-4007-B1E8-F1D4E03A0C4B}">
  <sheetPr codeName="Tabelle4"/>
  <dimension ref="A1:O137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5" x14ac:dyDescent="0.25"/>
  <cols>
    <col min="1" max="1" width="39.7109375" bestFit="1" customWidth="1"/>
    <col min="2" max="2" width="10.85546875" style="3" customWidth="1"/>
    <col min="3" max="3" width="10.85546875" customWidth="1"/>
    <col min="4" max="8" width="10.85546875" style="3" customWidth="1"/>
    <col min="9" max="9" width="10.85546875" style="1" customWidth="1"/>
    <col min="10" max="15" width="10.85546875" customWidth="1"/>
  </cols>
  <sheetData>
    <row r="1" spans="1:15" ht="174.75" customHeight="1" x14ac:dyDescent="0.25">
      <c r="B1" s="7" t="s">
        <v>297</v>
      </c>
      <c r="C1" s="8" t="s">
        <v>337</v>
      </c>
      <c r="D1" s="7" t="s">
        <v>298</v>
      </c>
      <c r="E1" s="7" t="s">
        <v>299</v>
      </c>
      <c r="F1" s="7" t="s">
        <v>300</v>
      </c>
      <c r="G1" s="7" t="s">
        <v>153</v>
      </c>
      <c r="H1" s="8" t="s">
        <v>152</v>
      </c>
      <c r="I1" s="7" t="s">
        <v>158</v>
      </c>
      <c r="J1" s="8" t="s">
        <v>250</v>
      </c>
      <c r="K1" s="8" t="s">
        <v>253</v>
      </c>
      <c r="L1" s="8" t="s">
        <v>254</v>
      </c>
      <c r="M1" s="8" t="s">
        <v>256</v>
      </c>
      <c r="N1" s="8" t="s">
        <v>257</v>
      </c>
      <c r="O1" s="8" t="s">
        <v>258</v>
      </c>
    </row>
    <row r="2" spans="1:15" x14ac:dyDescent="0.25">
      <c r="A2" t="s">
        <v>28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1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</row>
    <row r="3" spans="1:15" x14ac:dyDescent="0.25">
      <c r="A3" t="s">
        <v>29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1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</row>
    <row r="4" spans="1:15" x14ac:dyDescent="0.25">
      <c r="A4" t="s">
        <v>30</v>
      </c>
      <c r="B4" s="3" t="s">
        <v>2</v>
      </c>
      <c r="C4" s="3" t="s">
        <v>2</v>
      </c>
      <c r="D4" s="3" t="s">
        <v>2</v>
      </c>
      <c r="E4" s="3" t="s">
        <v>2</v>
      </c>
      <c r="F4" s="3" t="s">
        <v>2</v>
      </c>
      <c r="G4" s="3" t="s">
        <v>2</v>
      </c>
      <c r="H4" s="3" t="s">
        <v>21</v>
      </c>
      <c r="I4" s="1" t="s">
        <v>21</v>
      </c>
      <c r="J4" s="3" t="s">
        <v>21</v>
      </c>
      <c r="K4" s="3" t="s">
        <v>21</v>
      </c>
      <c r="L4" s="3" t="s">
        <v>21</v>
      </c>
      <c r="M4" s="3" t="s">
        <v>21</v>
      </c>
      <c r="N4" s="3" t="s">
        <v>21</v>
      </c>
      <c r="O4" s="3" t="s">
        <v>21</v>
      </c>
    </row>
    <row r="5" spans="1:15" x14ac:dyDescent="0.25">
      <c r="A5" t="s">
        <v>31</v>
      </c>
      <c r="B5" s="3">
        <v>3</v>
      </c>
      <c r="C5" s="3">
        <v>3</v>
      </c>
      <c r="D5" s="3">
        <v>3</v>
      </c>
      <c r="E5" s="3">
        <v>3</v>
      </c>
      <c r="F5" s="3">
        <v>3</v>
      </c>
      <c r="G5" s="3">
        <v>2</v>
      </c>
      <c r="H5" s="3">
        <v>10</v>
      </c>
      <c r="I5" s="1">
        <v>8</v>
      </c>
      <c r="J5" s="3">
        <v>7</v>
      </c>
      <c r="K5" s="3">
        <v>5</v>
      </c>
      <c r="L5" s="3">
        <v>5</v>
      </c>
      <c r="M5" s="3">
        <v>4</v>
      </c>
      <c r="N5" s="3">
        <v>4</v>
      </c>
      <c r="O5" s="3">
        <v>3</v>
      </c>
    </row>
    <row r="6" spans="1:15" x14ac:dyDescent="0.25">
      <c r="A6" t="s">
        <v>32</v>
      </c>
      <c r="B6" s="3" t="s">
        <v>3</v>
      </c>
      <c r="C6" s="6" t="s">
        <v>3</v>
      </c>
      <c r="D6" s="3" t="s">
        <v>3</v>
      </c>
      <c r="E6" s="3" t="s">
        <v>3</v>
      </c>
      <c r="F6" s="3" t="s">
        <v>3</v>
      </c>
      <c r="G6" s="3" t="s">
        <v>3</v>
      </c>
      <c r="H6" s="6" t="s">
        <v>3</v>
      </c>
      <c r="I6" s="1" t="s">
        <v>3</v>
      </c>
      <c r="J6" s="6" t="s">
        <v>3</v>
      </c>
      <c r="K6" s="6" t="s">
        <v>3</v>
      </c>
      <c r="L6" s="6" t="s">
        <v>3</v>
      </c>
      <c r="M6" s="6" t="s">
        <v>3</v>
      </c>
      <c r="N6" s="6" t="s">
        <v>3</v>
      </c>
      <c r="O6" s="6" t="s">
        <v>3</v>
      </c>
    </row>
    <row r="7" spans="1:15" x14ac:dyDescent="0.25">
      <c r="A7" t="s">
        <v>33</v>
      </c>
      <c r="B7" s="3">
        <v>1000</v>
      </c>
      <c r="C7" s="3">
        <v>1000</v>
      </c>
      <c r="D7" s="3">
        <v>1000</v>
      </c>
      <c r="E7" s="3">
        <v>1000</v>
      </c>
      <c r="F7" s="3">
        <v>1000</v>
      </c>
      <c r="G7" s="3">
        <v>1000</v>
      </c>
      <c r="H7" s="3">
        <v>300</v>
      </c>
      <c r="I7" s="1">
        <v>300</v>
      </c>
      <c r="J7" s="3">
        <v>1000</v>
      </c>
      <c r="K7" s="3">
        <v>1000</v>
      </c>
      <c r="L7" s="3">
        <v>1000</v>
      </c>
      <c r="M7" s="3">
        <v>1000</v>
      </c>
      <c r="N7" s="3">
        <v>1000</v>
      </c>
      <c r="O7" s="3">
        <v>1000</v>
      </c>
    </row>
    <row r="8" spans="1:15" x14ac:dyDescent="0.25">
      <c r="A8" t="s">
        <v>34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1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</row>
    <row r="9" spans="1:15" x14ac:dyDescent="0.25">
      <c r="A9" t="s">
        <v>35</v>
      </c>
      <c r="B9" s="3" t="s">
        <v>17</v>
      </c>
      <c r="C9" s="6" t="s">
        <v>4</v>
      </c>
      <c r="D9" s="3" t="s">
        <v>4</v>
      </c>
      <c r="E9" s="3" t="s">
        <v>4</v>
      </c>
      <c r="F9" s="3" t="s">
        <v>4</v>
      </c>
      <c r="G9" s="3" t="s">
        <v>4</v>
      </c>
      <c r="H9" s="6" t="s">
        <v>23</v>
      </c>
      <c r="I9" s="1" t="s">
        <v>23</v>
      </c>
      <c r="J9" s="6" t="s">
        <v>23</v>
      </c>
      <c r="K9" s="6" t="s">
        <v>17</v>
      </c>
      <c r="L9" s="6" t="s">
        <v>17</v>
      </c>
      <c r="M9" s="6" t="s">
        <v>4</v>
      </c>
      <c r="N9" s="6" t="s">
        <v>4</v>
      </c>
      <c r="O9" s="6" t="s">
        <v>4</v>
      </c>
    </row>
    <row r="10" spans="1:15" x14ac:dyDescent="0.25">
      <c r="A10" t="s">
        <v>36</v>
      </c>
      <c r="B10" s="3">
        <v>30</v>
      </c>
      <c r="C10" s="3">
        <v>30</v>
      </c>
      <c r="D10" s="3">
        <v>30</v>
      </c>
      <c r="E10" s="3">
        <v>30</v>
      </c>
      <c r="F10" s="3">
        <v>30</v>
      </c>
      <c r="G10" s="3">
        <v>30</v>
      </c>
      <c r="H10" s="3">
        <v>20</v>
      </c>
      <c r="I10" s="1">
        <v>20</v>
      </c>
      <c r="J10" s="3">
        <v>30</v>
      </c>
      <c r="K10" s="3">
        <v>30</v>
      </c>
      <c r="L10" s="3">
        <v>30</v>
      </c>
      <c r="M10" s="3">
        <v>30</v>
      </c>
      <c r="N10" s="3">
        <v>30</v>
      </c>
      <c r="O10" s="3">
        <v>30</v>
      </c>
    </row>
    <row r="11" spans="1:15" x14ac:dyDescent="0.25">
      <c r="A11" t="s">
        <v>37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1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</row>
    <row r="12" spans="1:15" x14ac:dyDescent="0.25">
      <c r="A12" t="s">
        <v>38</v>
      </c>
      <c r="B12" s="3">
        <v>1</v>
      </c>
      <c r="C12" s="3">
        <v>1</v>
      </c>
      <c r="D12" s="3">
        <v>1</v>
      </c>
      <c r="E12" s="3">
        <v>1</v>
      </c>
      <c r="F12" s="3">
        <v>1</v>
      </c>
      <c r="G12" s="3">
        <v>1</v>
      </c>
      <c r="H12" s="3">
        <v>1</v>
      </c>
      <c r="I12" s="1">
        <v>1</v>
      </c>
      <c r="J12" s="3">
        <v>1</v>
      </c>
      <c r="K12" s="3">
        <v>1</v>
      </c>
      <c r="L12" s="3">
        <v>1</v>
      </c>
      <c r="M12" s="3">
        <v>1</v>
      </c>
      <c r="N12" s="3">
        <v>1</v>
      </c>
      <c r="O12" s="3">
        <v>1</v>
      </c>
    </row>
    <row r="13" spans="1:15" x14ac:dyDescent="0.25">
      <c r="A13" t="s">
        <v>39</v>
      </c>
      <c r="C13" s="3"/>
      <c r="J13" s="3"/>
      <c r="K13" s="3"/>
      <c r="L13" s="3"/>
      <c r="M13" s="3"/>
      <c r="N13" s="3"/>
      <c r="O13" s="3"/>
    </row>
    <row r="14" spans="1:15" x14ac:dyDescent="0.25">
      <c r="A14" t="s">
        <v>40</v>
      </c>
      <c r="B14" s="3" t="s">
        <v>1</v>
      </c>
      <c r="C14" s="6" t="s">
        <v>1</v>
      </c>
      <c r="D14" s="3" t="s">
        <v>1</v>
      </c>
      <c r="E14" s="3" t="s">
        <v>1</v>
      </c>
      <c r="F14" s="3" t="s">
        <v>1</v>
      </c>
      <c r="G14" s="3" t="s">
        <v>1</v>
      </c>
      <c r="H14" s="6" t="s">
        <v>150</v>
      </c>
      <c r="I14" s="1" t="s">
        <v>150</v>
      </c>
      <c r="J14" s="6" t="s">
        <v>1</v>
      </c>
      <c r="K14" s="6" t="s">
        <v>1</v>
      </c>
      <c r="L14" s="6" t="s">
        <v>1</v>
      </c>
      <c r="M14" s="6" t="s">
        <v>1</v>
      </c>
      <c r="N14" s="6" t="s">
        <v>1</v>
      </c>
      <c r="O14" s="6" t="s">
        <v>1</v>
      </c>
    </row>
    <row r="15" spans="1:15" x14ac:dyDescent="0.25">
      <c r="A15" t="s">
        <v>41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1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</row>
    <row r="16" spans="1:15" x14ac:dyDescent="0.25">
      <c r="A16" t="s">
        <v>42</v>
      </c>
      <c r="B16" s="3">
        <v>1000</v>
      </c>
      <c r="C16" s="3">
        <v>1000</v>
      </c>
      <c r="D16" s="3">
        <v>1000</v>
      </c>
      <c r="E16" s="3">
        <v>1000</v>
      </c>
      <c r="F16" s="3">
        <v>1000</v>
      </c>
      <c r="G16" s="3">
        <v>1000</v>
      </c>
      <c r="H16" s="3">
        <v>1000</v>
      </c>
      <c r="I16" s="1">
        <v>1000</v>
      </c>
      <c r="J16" s="3">
        <v>1000</v>
      </c>
      <c r="K16" s="3">
        <v>1000</v>
      </c>
      <c r="L16" s="3">
        <v>1000</v>
      </c>
      <c r="M16" s="3">
        <v>1000</v>
      </c>
      <c r="N16" s="3">
        <v>1000</v>
      </c>
      <c r="O16" s="3">
        <v>1000</v>
      </c>
    </row>
    <row r="17" spans="1:15" x14ac:dyDescent="0.25">
      <c r="A17" t="s">
        <v>43</v>
      </c>
      <c r="B17" s="3">
        <v>1</v>
      </c>
      <c r="C17" s="3">
        <v>1</v>
      </c>
      <c r="D17" s="3">
        <v>1</v>
      </c>
      <c r="E17" s="3">
        <v>1</v>
      </c>
      <c r="F17" s="3">
        <v>1</v>
      </c>
      <c r="G17" s="3">
        <v>1</v>
      </c>
      <c r="H17" s="3">
        <v>1</v>
      </c>
      <c r="I17" s="1">
        <v>1</v>
      </c>
      <c r="J17" s="3">
        <v>1</v>
      </c>
      <c r="K17" s="3">
        <v>1</v>
      </c>
      <c r="L17" s="3">
        <v>1</v>
      </c>
      <c r="M17" s="3">
        <v>1</v>
      </c>
      <c r="N17" s="3">
        <v>1</v>
      </c>
      <c r="O17" s="3">
        <v>1</v>
      </c>
    </row>
    <row r="18" spans="1:15" x14ac:dyDescent="0.25">
      <c r="A18" t="s">
        <v>44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1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</row>
    <row r="19" spans="1:15" x14ac:dyDescent="0.25">
      <c r="A19" t="s">
        <v>45</v>
      </c>
      <c r="B19" s="3" t="s">
        <v>5</v>
      </c>
      <c r="C19" s="6" t="s">
        <v>5</v>
      </c>
      <c r="D19" s="3" t="s">
        <v>5</v>
      </c>
      <c r="E19" s="3" t="s">
        <v>5</v>
      </c>
      <c r="F19" s="3" t="s">
        <v>5</v>
      </c>
      <c r="G19" s="3" t="s">
        <v>5</v>
      </c>
      <c r="H19" s="6" t="s">
        <v>5</v>
      </c>
      <c r="I19" s="1" t="s">
        <v>5</v>
      </c>
      <c r="J19" s="6" t="s">
        <v>5</v>
      </c>
      <c r="K19" s="6" t="s">
        <v>5</v>
      </c>
      <c r="L19" s="6" t="s">
        <v>5</v>
      </c>
      <c r="M19" s="6" t="s">
        <v>5</v>
      </c>
      <c r="N19" s="6" t="s">
        <v>5</v>
      </c>
      <c r="O19" s="6" t="s">
        <v>5</v>
      </c>
    </row>
    <row r="20" spans="1:15" x14ac:dyDescent="0.25">
      <c r="A20" t="s">
        <v>46</v>
      </c>
      <c r="B20" s="3">
        <v>1</v>
      </c>
      <c r="C20" s="3">
        <v>1</v>
      </c>
      <c r="D20" s="3">
        <v>1</v>
      </c>
      <c r="E20" s="3">
        <v>1</v>
      </c>
      <c r="F20" s="3">
        <v>1</v>
      </c>
      <c r="G20" s="3">
        <v>1</v>
      </c>
      <c r="H20" s="3">
        <v>1</v>
      </c>
      <c r="I20" s="1">
        <v>1</v>
      </c>
      <c r="J20" s="3">
        <v>1</v>
      </c>
      <c r="K20" s="3">
        <v>1</v>
      </c>
      <c r="L20" s="3">
        <v>1</v>
      </c>
      <c r="M20" s="3">
        <v>1</v>
      </c>
      <c r="N20" s="3">
        <v>1</v>
      </c>
      <c r="O20" s="3">
        <v>1</v>
      </c>
    </row>
    <row r="21" spans="1:15" x14ac:dyDescent="0.25">
      <c r="A21" t="s">
        <v>47</v>
      </c>
      <c r="B21" s="3" t="s">
        <v>6</v>
      </c>
      <c r="C21" s="6" t="s">
        <v>6</v>
      </c>
      <c r="D21" s="3" t="s">
        <v>3</v>
      </c>
      <c r="E21" s="3" t="s">
        <v>3</v>
      </c>
      <c r="F21" s="3" t="s">
        <v>3</v>
      </c>
      <c r="G21" s="3" t="s">
        <v>16</v>
      </c>
      <c r="H21" s="6" t="s">
        <v>6</v>
      </c>
      <c r="I21" s="1" t="s">
        <v>6</v>
      </c>
      <c r="J21" s="6" t="s">
        <v>6</v>
      </c>
      <c r="K21" s="6" t="s">
        <v>6</v>
      </c>
      <c r="L21" s="6" t="s">
        <v>6</v>
      </c>
      <c r="M21" s="6" t="s">
        <v>6</v>
      </c>
      <c r="N21" s="6" t="s">
        <v>6</v>
      </c>
      <c r="O21" s="6" t="s">
        <v>16</v>
      </c>
    </row>
    <row r="22" spans="1:15" x14ac:dyDescent="0.25">
      <c r="A22" t="s">
        <v>48</v>
      </c>
      <c r="B22" s="3">
        <v>55</v>
      </c>
      <c r="C22" s="3">
        <v>45</v>
      </c>
      <c r="D22" s="3">
        <v>60</v>
      </c>
      <c r="E22" s="3">
        <v>60</v>
      </c>
      <c r="F22" s="3">
        <v>65</v>
      </c>
      <c r="G22" s="3">
        <v>70</v>
      </c>
      <c r="H22" s="3">
        <v>20</v>
      </c>
      <c r="I22" s="1">
        <v>20</v>
      </c>
      <c r="J22" s="3">
        <v>25</v>
      </c>
      <c r="K22" s="3">
        <v>25</v>
      </c>
      <c r="L22" s="3">
        <v>35</v>
      </c>
      <c r="M22" s="3">
        <v>25</v>
      </c>
      <c r="N22" s="3">
        <v>35</v>
      </c>
      <c r="O22" s="3">
        <v>35</v>
      </c>
    </row>
    <row r="23" spans="1:15" x14ac:dyDescent="0.25">
      <c r="A23" t="s">
        <v>49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1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</row>
    <row r="24" spans="1:15" x14ac:dyDescent="0.25">
      <c r="A24" t="s">
        <v>50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1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</row>
    <row r="25" spans="1:15" x14ac:dyDescent="0.25">
      <c r="A25" t="s">
        <v>51</v>
      </c>
      <c r="B25" s="3">
        <v>20</v>
      </c>
      <c r="C25" s="3">
        <v>20</v>
      </c>
      <c r="D25" s="3">
        <v>20</v>
      </c>
      <c r="E25" s="3">
        <v>20</v>
      </c>
      <c r="F25" s="3">
        <v>20</v>
      </c>
      <c r="G25" s="3">
        <v>20</v>
      </c>
      <c r="H25" s="3">
        <v>20</v>
      </c>
      <c r="I25" s="1">
        <v>20</v>
      </c>
      <c r="J25" s="3">
        <v>20</v>
      </c>
      <c r="K25" s="3">
        <v>20</v>
      </c>
      <c r="L25" s="3">
        <v>20</v>
      </c>
      <c r="M25" s="3">
        <v>20</v>
      </c>
      <c r="N25" s="3">
        <v>20</v>
      </c>
      <c r="O25" s="3">
        <v>20</v>
      </c>
    </row>
    <row r="26" spans="1:15" x14ac:dyDescent="0.25">
      <c r="A26" t="s">
        <v>52</v>
      </c>
      <c r="B26" s="3">
        <v>45</v>
      </c>
      <c r="C26" s="3">
        <v>45</v>
      </c>
      <c r="D26" s="3">
        <v>45</v>
      </c>
      <c r="E26" s="3">
        <v>45</v>
      </c>
      <c r="F26" s="3">
        <v>45</v>
      </c>
      <c r="G26" s="3">
        <v>45</v>
      </c>
      <c r="H26" s="3">
        <v>45</v>
      </c>
      <c r="I26" s="1">
        <v>45</v>
      </c>
      <c r="J26" s="3">
        <v>45</v>
      </c>
      <c r="K26" s="3">
        <v>45</v>
      </c>
      <c r="L26" s="3">
        <v>45</v>
      </c>
      <c r="M26" s="3">
        <v>45</v>
      </c>
      <c r="N26" s="3">
        <v>45</v>
      </c>
      <c r="O26" s="3">
        <v>45</v>
      </c>
    </row>
    <row r="27" spans="1:15" x14ac:dyDescent="0.25">
      <c r="A27" t="s">
        <v>53</v>
      </c>
      <c r="B27" s="3" t="s">
        <v>6</v>
      </c>
      <c r="C27" s="6" t="s">
        <v>6</v>
      </c>
      <c r="D27" s="3" t="s">
        <v>6</v>
      </c>
      <c r="E27" s="3" t="s">
        <v>6</v>
      </c>
      <c r="F27" s="3" t="s">
        <v>3</v>
      </c>
      <c r="G27" s="3" t="s">
        <v>3</v>
      </c>
      <c r="H27" s="6" t="s">
        <v>6</v>
      </c>
      <c r="I27" s="1" t="s">
        <v>6</v>
      </c>
      <c r="J27" s="6" t="s">
        <v>6</v>
      </c>
      <c r="K27" s="6" t="s">
        <v>6</v>
      </c>
      <c r="L27" s="6" t="s">
        <v>6</v>
      </c>
      <c r="M27" s="6" t="s">
        <v>6</v>
      </c>
      <c r="N27" s="6" t="s">
        <v>6</v>
      </c>
      <c r="O27" s="6" t="s">
        <v>3</v>
      </c>
    </row>
    <row r="28" spans="1:15" x14ac:dyDescent="0.25">
      <c r="A28" t="s">
        <v>54</v>
      </c>
      <c r="B28" s="3">
        <v>45</v>
      </c>
      <c r="C28" s="3">
        <v>45</v>
      </c>
      <c r="D28" s="3">
        <v>45</v>
      </c>
      <c r="E28" s="3">
        <v>45</v>
      </c>
      <c r="F28" s="3">
        <v>45</v>
      </c>
      <c r="G28" s="3">
        <v>45</v>
      </c>
      <c r="H28" s="3">
        <v>45</v>
      </c>
      <c r="I28" s="1">
        <v>45</v>
      </c>
      <c r="J28" s="3">
        <v>45</v>
      </c>
      <c r="K28" s="3">
        <v>45</v>
      </c>
      <c r="L28" s="3">
        <v>45</v>
      </c>
      <c r="M28" s="3">
        <v>45</v>
      </c>
      <c r="N28" s="3">
        <v>45</v>
      </c>
      <c r="O28" s="3">
        <v>45</v>
      </c>
    </row>
    <row r="29" spans="1:15" x14ac:dyDescent="0.25">
      <c r="A29" t="s">
        <v>55</v>
      </c>
      <c r="B29" s="2">
        <v>0.15</v>
      </c>
      <c r="C29" s="5">
        <v>0.15</v>
      </c>
      <c r="D29" s="2">
        <v>0.15</v>
      </c>
      <c r="E29" s="2">
        <v>0.15</v>
      </c>
      <c r="F29" s="2">
        <v>0.15</v>
      </c>
      <c r="G29" s="2">
        <v>0.15</v>
      </c>
      <c r="H29" s="5">
        <v>0.15</v>
      </c>
      <c r="I29" s="5">
        <v>0.15</v>
      </c>
      <c r="J29" s="5">
        <v>0.15</v>
      </c>
      <c r="K29" s="5">
        <v>0.15</v>
      </c>
      <c r="L29" s="5">
        <v>0.2</v>
      </c>
      <c r="M29" s="5">
        <v>0.15</v>
      </c>
      <c r="N29" s="5">
        <v>0.2</v>
      </c>
      <c r="O29" s="5">
        <v>0.2</v>
      </c>
    </row>
    <row r="30" spans="1:15" x14ac:dyDescent="0.25">
      <c r="A30" t="s">
        <v>56</v>
      </c>
      <c r="B30" s="3" t="s">
        <v>7</v>
      </c>
      <c r="C30" s="3" t="s">
        <v>7</v>
      </c>
      <c r="D30" s="3" t="s">
        <v>7</v>
      </c>
      <c r="E30" s="3" t="s">
        <v>7</v>
      </c>
      <c r="F30" s="3" t="s">
        <v>7</v>
      </c>
      <c r="G30" s="3" t="s">
        <v>7</v>
      </c>
      <c r="H30" s="3" t="s">
        <v>22</v>
      </c>
      <c r="I30" s="1" t="s">
        <v>22</v>
      </c>
      <c r="J30" s="3" t="s">
        <v>22</v>
      </c>
      <c r="K30" s="3" t="s">
        <v>22</v>
      </c>
      <c r="L30" s="3" t="s">
        <v>24</v>
      </c>
      <c r="M30" s="3" t="s">
        <v>22</v>
      </c>
      <c r="N30" s="3" t="s">
        <v>24</v>
      </c>
      <c r="O30" s="3" t="s">
        <v>24</v>
      </c>
    </row>
    <row r="31" spans="1:15" x14ac:dyDescent="0.25">
      <c r="A31" t="s">
        <v>57</v>
      </c>
      <c r="B31" s="3">
        <v>1000</v>
      </c>
      <c r="C31" s="3">
        <v>1000</v>
      </c>
      <c r="D31" s="3">
        <v>1000</v>
      </c>
      <c r="E31" s="3">
        <v>1000</v>
      </c>
      <c r="F31" s="3">
        <v>1000</v>
      </c>
      <c r="G31" s="3">
        <v>1000</v>
      </c>
      <c r="H31" s="3">
        <v>500</v>
      </c>
      <c r="I31" s="1">
        <v>500</v>
      </c>
      <c r="J31" s="3">
        <v>1000</v>
      </c>
      <c r="K31" s="3">
        <v>1000</v>
      </c>
      <c r="L31" s="3">
        <v>1000</v>
      </c>
      <c r="M31" s="3">
        <v>1000</v>
      </c>
      <c r="N31" s="3">
        <v>1000</v>
      </c>
      <c r="O31" s="3">
        <v>1000</v>
      </c>
    </row>
    <row r="32" spans="1:15" x14ac:dyDescent="0.25">
      <c r="A32" t="s">
        <v>58</v>
      </c>
      <c r="B32" s="3" t="s">
        <v>8</v>
      </c>
      <c r="C32" s="6" t="s">
        <v>8</v>
      </c>
      <c r="D32" s="3" t="s">
        <v>8</v>
      </c>
      <c r="E32" s="3" t="s">
        <v>8</v>
      </c>
      <c r="F32" s="3" t="s">
        <v>8</v>
      </c>
      <c r="G32" s="3" t="s">
        <v>8</v>
      </c>
      <c r="H32" s="6" t="s">
        <v>8</v>
      </c>
      <c r="I32" s="1" t="s">
        <v>8</v>
      </c>
      <c r="J32" s="6" t="s">
        <v>8</v>
      </c>
      <c r="K32" s="6" t="s">
        <v>8</v>
      </c>
      <c r="L32" s="6" t="s">
        <v>8</v>
      </c>
      <c r="M32" s="6" t="s">
        <v>8</v>
      </c>
      <c r="N32" s="6" t="s">
        <v>8</v>
      </c>
      <c r="O32" s="6" t="s">
        <v>8</v>
      </c>
    </row>
    <row r="33" spans="1:15" x14ac:dyDescent="0.25">
      <c r="A33" t="s">
        <v>59</v>
      </c>
      <c r="B33" s="3" t="s">
        <v>5</v>
      </c>
      <c r="C33" s="6" t="s">
        <v>5</v>
      </c>
      <c r="D33" s="3" t="s">
        <v>5</v>
      </c>
      <c r="E33" s="3" t="s">
        <v>5</v>
      </c>
      <c r="F33" s="3" t="s">
        <v>5</v>
      </c>
      <c r="G33" s="3" t="s">
        <v>5</v>
      </c>
      <c r="H33" s="6" t="s">
        <v>5</v>
      </c>
      <c r="I33" s="1" t="s">
        <v>5</v>
      </c>
      <c r="J33" s="6" t="s">
        <v>5</v>
      </c>
      <c r="K33" s="6" t="s">
        <v>5</v>
      </c>
      <c r="L33" s="6" t="s">
        <v>5</v>
      </c>
      <c r="M33" s="6" t="s">
        <v>5</v>
      </c>
      <c r="N33" s="6" t="s">
        <v>5</v>
      </c>
      <c r="O33" s="6" t="s">
        <v>5</v>
      </c>
    </row>
    <row r="34" spans="1:15" x14ac:dyDescent="0.25">
      <c r="A34" t="s">
        <v>60</v>
      </c>
      <c r="B34" s="3">
        <v>30</v>
      </c>
      <c r="C34" s="3">
        <v>25</v>
      </c>
      <c r="D34" s="3">
        <v>30</v>
      </c>
      <c r="E34" s="3">
        <v>30</v>
      </c>
      <c r="F34" s="3">
        <v>30</v>
      </c>
      <c r="G34" s="3">
        <v>30</v>
      </c>
      <c r="H34" s="3">
        <v>20</v>
      </c>
      <c r="I34" s="1">
        <v>20</v>
      </c>
      <c r="J34" s="3">
        <v>20</v>
      </c>
      <c r="K34" s="3">
        <v>20</v>
      </c>
      <c r="L34" s="3">
        <v>20</v>
      </c>
      <c r="M34" s="3">
        <v>20</v>
      </c>
      <c r="N34" s="3">
        <v>20</v>
      </c>
      <c r="O34" s="3">
        <v>20</v>
      </c>
    </row>
    <row r="35" spans="1:15" x14ac:dyDescent="0.25">
      <c r="A35" t="s">
        <v>61</v>
      </c>
      <c r="B35" s="3">
        <v>40</v>
      </c>
      <c r="C35" s="3">
        <v>40</v>
      </c>
      <c r="D35" s="3">
        <v>40</v>
      </c>
      <c r="E35" s="3">
        <v>40</v>
      </c>
      <c r="F35" s="3">
        <v>40</v>
      </c>
      <c r="G35" s="3">
        <v>40</v>
      </c>
      <c r="H35" s="3">
        <v>20</v>
      </c>
      <c r="I35" s="1">
        <v>20</v>
      </c>
      <c r="J35" s="3">
        <v>40</v>
      </c>
      <c r="K35" s="3">
        <v>40</v>
      </c>
      <c r="L35" s="3">
        <v>40</v>
      </c>
      <c r="M35" s="3">
        <v>40</v>
      </c>
      <c r="N35" s="3">
        <v>40</v>
      </c>
      <c r="O35" s="3">
        <v>40</v>
      </c>
    </row>
    <row r="36" spans="1:15" x14ac:dyDescent="0.25">
      <c r="A36" t="s">
        <v>62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1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</row>
    <row r="37" spans="1:15" x14ac:dyDescent="0.25">
      <c r="A37" t="s">
        <v>63</v>
      </c>
      <c r="B37" s="3">
        <v>1</v>
      </c>
      <c r="C37" s="3">
        <v>1</v>
      </c>
      <c r="D37" s="3">
        <v>1</v>
      </c>
      <c r="E37" s="3">
        <v>1</v>
      </c>
      <c r="F37" s="3">
        <v>1</v>
      </c>
      <c r="G37" s="3">
        <v>1</v>
      </c>
      <c r="H37" s="3">
        <v>1</v>
      </c>
      <c r="I37" s="1">
        <v>1</v>
      </c>
      <c r="J37" s="3">
        <v>1</v>
      </c>
      <c r="K37" s="3">
        <v>1</v>
      </c>
      <c r="L37" s="3">
        <v>1</v>
      </c>
      <c r="M37" s="3">
        <v>1</v>
      </c>
      <c r="N37" s="3">
        <v>1</v>
      </c>
      <c r="O37" s="3">
        <v>1</v>
      </c>
    </row>
    <row r="38" spans="1:15" x14ac:dyDescent="0.25">
      <c r="A38" t="s">
        <v>64</v>
      </c>
      <c r="B38" s="3">
        <v>2000</v>
      </c>
      <c r="C38" s="3">
        <v>2000</v>
      </c>
      <c r="D38" s="3">
        <v>2000</v>
      </c>
      <c r="E38" s="3">
        <v>2000</v>
      </c>
      <c r="F38" s="3">
        <v>2000</v>
      </c>
      <c r="G38" s="3">
        <v>2000</v>
      </c>
      <c r="H38" s="3">
        <v>800</v>
      </c>
      <c r="I38" s="1">
        <v>800</v>
      </c>
      <c r="J38" s="3">
        <v>1000</v>
      </c>
      <c r="K38" s="3">
        <v>1000</v>
      </c>
      <c r="L38" s="3">
        <v>1000</v>
      </c>
      <c r="M38" s="3">
        <v>1000</v>
      </c>
      <c r="N38" s="3">
        <v>1000</v>
      </c>
      <c r="O38" s="3">
        <v>1000</v>
      </c>
    </row>
    <row r="39" spans="1:15" x14ac:dyDescent="0.25">
      <c r="A39" t="s">
        <v>65</v>
      </c>
      <c r="B39" s="4" t="s">
        <v>154</v>
      </c>
      <c r="C39" s="6" t="s">
        <v>154</v>
      </c>
      <c r="D39" s="4" t="s">
        <v>154</v>
      </c>
      <c r="E39" s="4" t="s">
        <v>154</v>
      </c>
      <c r="F39" s="4" t="s">
        <v>154</v>
      </c>
      <c r="G39" s="4" t="s">
        <v>154</v>
      </c>
      <c r="H39" s="6" t="s">
        <v>154</v>
      </c>
      <c r="I39" s="4" t="s">
        <v>154</v>
      </c>
      <c r="J39" s="6" t="s">
        <v>154</v>
      </c>
      <c r="K39" s="6" t="s">
        <v>154</v>
      </c>
      <c r="L39" s="6" t="s">
        <v>154</v>
      </c>
      <c r="M39" s="6" t="s">
        <v>154</v>
      </c>
      <c r="N39" s="6" t="s">
        <v>154</v>
      </c>
      <c r="O39" s="6" t="s">
        <v>154</v>
      </c>
    </row>
    <row r="40" spans="1:15" x14ac:dyDescent="0.25">
      <c r="A40" t="s">
        <v>66</v>
      </c>
      <c r="B40" s="3">
        <v>50</v>
      </c>
      <c r="C40" s="3">
        <v>50</v>
      </c>
      <c r="D40" s="3">
        <v>50</v>
      </c>
      <c r="E40" s="3">
        <v>50</v>
      </c>
      <c r="F40" s="3">
        <v>50</v>
      </c>
      <c r="G40" s="3">
        <v>50</v>
      </c>
      <c r="H40" s="3">
        <v>12</v>
      </c>
      <c r="I40" s="1">
        <v>12</v>
      </c>
      <c r="J40" s="3">
        <v>12</v>
      </c>
      <c r="K40" s="3">
        <v>12</v>
      </c>
      <c r="L40" s="3">
        <v>12</v>
      </c>
      <c r="M40" s="3">
        <v>12</v>
      </c>
      <c r="N40" s="3">
        <v>12</v>
      </c>
      <c r="O40" s="3">
        <v>12</v>
      </c>
    </row>
    <row r="41" spans="1:15" x14ac:dyDescent="0.25">
      <c r="A41" t="s">
        <v>67</v>
      </c>
      <c r="B41" s="3">
        <v>2</v>
      </c>
      <c r="C41" s="3">
        <v>2</v>
      </c>
      <c r="D41" s="3">
        <v>2</v>
      </c>
      <c r="E41" s="3">
        <v>2</v>
      </c>
      <c r="F41" s="3">
        <v>2</v>
      </c>
      <c r="G41" s="3">
        <v>2</v>
      </c>
      <c r="H41" s="3">
        <v>1</v>
      </c>
      <c r="I41" s="1">
        <v>1</v>
      </c>
      <c r="J41" s="3">
        <v>1</v>
      </c>
      <c r="K41" s="3">
        <v>1</v>
      </c>
      <c r="L41" s="3">
        <v>1</v>
      </c>
      <c r="M41" s="3">
        <v>1</v>
      </c>
      <c r="N41" s="3">
        <v>1</v>
      </c>
      <c r="O41" s="3">
        <v>1</v>
      </c>
    </row>
    <row r="42" spans="1:15" x14ac:dyDescent="0.25">
      <c r="A42" t="s">
        <v>68</v>
      </c>
      <c r="B42" s="3">
        <v>1</v>
      </c>
      <c r="C42" s="3">
        <v>1</v>
      </c>
      <c r="D42" s="3">
        <v>1</v>
      </c>
      <c r="E42" s="3">
        <v>1</v>
      </c>
      <c r="F42" s="3">
        <v>1</v>
      </c>
      <c r="G42" s="3">
        <v>1</v>
      </c>
      <c r="H42" s="3">
        <v>1</v>
      </c>
      <c r="I42" s="1">
        <v>1</v>
      </c>
      <c r="J42" s="3">
        <v>1</v>
      </c>
      <c r="K42" s="3">
        <v>1</v>
      </c>
      <c r="L42" s="3">
        <v>1</v>
      </c>
      <c r="M42" s="3">
        <v>1</v>
      </c>
      <c r="N42" s="3">
        <v>1</v>
      </c>
      <c r="O42" s="3">
        <v>1</v>
      </c>
    </row>
    <row r="43" spans="1:15" x14ac:dyDescent="0.25">
      <c r="A43" t="s">
        <v>69</v>
      </c>
      <c r="B43" s="3" t="s">
        <v>6</v>
      </c>
      <c r="C43" s="6" t="s">
        <v>6</v>
      </c>
      <c r="D43" s="3" t="s">
        <v>6</v>
      </c>
      <c r="E43" s="3" t="s">
        <v>6</v>
      </c>
      <c r="F43" s="3" t="s">
        <v>6</v>
      </c>
      <c r="G43" s="3" t="s">
        <v>3</v>
      </c>
      <c r="H43" s="6" t="s">
        <v>6</v>
      </c>
      <c r="I43" s="1" t="s">
        <v>6</v>
      </c>
      <c r="J43" s="6" t="s">
        <v>6</v>
      </c>
      <c r="K43" s="6" t="s">
        <v>6</v>
      </c>
      <c r="L43" s="6" t="s">
        <v>6</v>
      </c>
      <c r="M43" s="6" t="s">
        <v>6</v>
      </c>
      <c r="N43" s="6" t="s">
        <v>6</v>
      </c>
      <c r="O43" s="6" t="s">
        <v>3</v>
      </c>
    </row>
    <row r="44" spans="1:15" x14ac:dyDescent="0.25">
      <c r="A44" t="s">
        <v>70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1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</row>
    <row r="45" spans="1:15" x14ac:dyDescent="0.25">
      <c r="A45" t="s">
        <v>71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1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</row>
    <row r="46" spans="1:15" x14ac:dyDescent="0.25">
      <c r="A46" t="s">
        <v>72</v>
      </c>
      <c r="B46" s="2">
        <v>0.25</v>
      </c>
      <c r="C46" s="5">
        <v>0.25</v>
      </c>
      <c r="D46" s="2">
        <v>0.25</v>
      </c>
      <c r="E46" s="2">
        <v>0.25</v>
      </c>
      <c r="F46" s="2">
        <v>0.25</v>
      </c>
      <c r="G46" s="2">
        <v>0.25</v>
      </c>
      <c r="H46" s="5">
        <v>0.25</v>
      </c>
      <c r="I46" s="5">
        <v>0.25</v>
      </c>
      <c r="J46" s="5">
        <v>0.25</v>
      </c>
      <c r="K46" s="5">
        <v>0.25</v>
      </c>
      <c r="L46" s="5">
        <v>0.25</v>
      </c>
      <c r="M46" s="5">
        <v>0.25</v>
      </c>
      <c r="N46" s="5">
        <v>0.25</v>
      </c>
      <c r="O46" s="5">
        <v>0.25</v>
      </c>
    </row>
    <row r="47" spans="1:15" x14ac:dyDescent="0.25">
      <c r="A47" t="s">
        <v>73</v>
      </c>
      <c r="B47" s="3">
        <v>200</v>
      </c>
      <c r="C47" s="3">
        <v>200</v>
      </c>
      <c r="D47" s="3">
        <v>200</v>
      </c>
      <c r="E47" s="3">
        <v>180</v>
      </c>
      <c r="F47" s="3">
        <v>100</v>
      </c>
      <c r="G47" s="3">
        <v>100</v>
      </c>
      <c r="H47" s="3">
        <v>30</v>
      </c>
      <c r="I47" s="1">
        <v>40</v>
      </c>
      <c r="J47" s="3">
        <v>80</v>
      </c>
      <c r="K47" s="3">
        <v>80</v>
      </c>
      <c r="L47" s="3">
        <v>200</v>
      </c>
      <c r="M47" s="3">
        <v>80</v>
      </c>
      <c r="N47" s="3">
        <v>200</v>
      </c>
      <c r="O47" s="3">
        <v>85</v>
      </c>
    </row>
    <row r="48" spans="1:15" x14ac:dyDescent="0.25">
      <c r="A48" t="s">
        <v>74</v>
      </c>
      <c r="B48" s="3" t="s">
        <v>27</v>
      </c>
      <c r="C48" s="6" t="s">
        <v>149</v>
      </c>
      <c r="D48" s="3" t="s">
        <v>149</v>
      </c>
      <c r="E48" s="3" t="s">
        <v>149</v>
      </c>
      <c r="F48" s="3" t="s">
        <v>26</v>
      </c>
      <c r="G48" s="3" t="s">
        <v>26</v>
      </c>
      <c r="H48" s="6" t="s">
        <v>155</v>
      </c>
      <c r="I48" s="1" t="s">
        <v>156</v>
      </c>
      <c r="J48" s="6" t="s">
        <v>249</v>
      </c>
      <c r="K48" s="6" t="s">
        <v>251</v>
      </c>
      <c r="L48" s="6" t="s">
        <v>27</v>
      </c>
      <c r="M48" s="6" t="s">
        <v>255</v>
      </c>
      <c r="N48" s="6" t="s">
        <v>149</v>
      </c>
      <c r="O48" s="6" t="s">
        <v>26</v>
      </c>
    </row>
    <row r="49" spans="1:15" x14ac:dyDescent="0.25">
      <c r="A49" t="s">
        <v>75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1">
        <v>0</v>
      </c>
      <c r="J49" s="3">
        <v>0</v>
      </c>
      <c r="K49" s="3">
        <v>0</v>
      </c>
      <c r="L49" s="3">
        <v>0</v>
      </c>
      <c r="M49" s="3">
        <v>0</v>
      </c>
      <c r="N49" s="3">
        <v>0</v>
      </c>
      <c r="O49" s="3">
        <v>0</v>
      </c>
    </row>
    <row r="50" spans="1:15" x14ac:dyDescent="0.25">
      <c r="A50" t="s">
        <v>76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3">
        <v>0</v>
      </c>
      <c r="H50" s="3">
        <v>0</v>
      </c>
      <c r="I50" s="1">
        <v>0</v>
      </c>
      <c r="J50" s="3">
        <v>0</v>
      </c>
      <c r="K50" s="3">
        <v>0</v>
      </c>
      <c r="L50" s="3">
        <v>0</v>
      </c>
      <c r="M50" s="3">
        <v>0</v>
      </c>
      <c r="N50" s="3">
        <v>0</v>
      </c>
      <c r="O50" s="3">
        <v>0</v>
      </c>
    </row>
    <row r="51" spans="1:15" x14ac:dyDescent="0.25">
      <c r="A51" t="s">
        <v>77</v>
      </c>
      <c r="B51" s="2">
        <v>0.15</v>
      </c>
      <c r="C51" s="5">
        <v>0.15</v>
      </c>
      <c r="D51" s="2">
        <v>0.15</v>
      </c>
      <c r="E51" s="2">
        <v>0.15</v>
      </c>
      <c r="F51" s="2">
        <v>0.15</v>
      </c>
      <c r="G51" s="2">
        <v>0.15</v>
      </c>
      <c r="H51" s="5">
        <v>0.15</v>
      </c>
      <c r="I51" s="5">
        <v>0.15</v>
      </c>
      <c r="J51" s="5">
        <v>0.15</v>
      </c>
      <c r="K51" s="5">
        <v>0.15</v>
      </c>
      <c r="L51" s="5">
        <v>0.15</v>
      </c>
      <c r="M51" s="5">
        <v>0.15</v>
      </c>
      <c r="N51" s="5">
        <v>0.15</v>
      </c>
      <c r="O51" s="5">
        <v>0.15</v>
      </c>
    </row>
    <row r="52" spans="1:15" x14ac:dyDescent="0.25">
      <c r="A52" t="s">
        <v>78</v>
      </c>
      <c r="B52" s="3" t="s">
        <v>9</v>
      </c>
      <c r="C52" s="6" t="s">
        <v>9</v>
      </c>
      <c r="D52" s="3" t="s">
        <v>9</v>
      </c>
      <c r="E52" s="3" t="s">
        <v>9</v>
      </c>
      <c r="F52" s="3" t="s">
        <v>9</v>
      </c>
      <c r="G52" s="3" t="s">
        <v>9</v>
      </c>
      <c r="H52" s="6" t="s">
        <v>9</v>
      </c>
      <c r="I52" s="1" t="s">
        <v>9</v>
      </c>
      <c r="J52" s="6" t="s">
        <v>9</v>
      </c>
      <c r="K52" s="6" t="s">
        <v>9</v>
      </c>
      <c r="L52" s="6" t="s">
        <v>9</v>
      </c>
      <c r="M52" s="6" t="s">
        <v>9</v>
      </c>
      <c r="N52" s="6" t="s">
        <v>9</v>
      </c>
      <c r="O52" s="6" t="s">
        <v>9</v>
      </c>
    </row>
    <row r="53" spans="1:15" x14ac:dyDescent="0.25">
      <c r="A53" t="s">
        <v>79</v>
      </c>
      <c r="B53" s="3">
        <v>15</v>
      </c>
      <c r="C53" s="3">
        <v>15</v>
      </c>
      <c r="D53" s="3">
        <v>15</v>
      </c>
      <c r="E53" s="3">
        <v>15</v>
      </c>
      <c r="F53" s="3">
        <v>15</v>
      </c>
      <c r="G53" s="3">
        <v>15</v>
      </c>
      <c r="H53" s="3">
        <v>15</v>
      </c>
      <c r="I53" s="1">
        <v>15</v>
      </c>
      <c r="J53" s="3">
        <v>15</v>
      </c>
      <c r="K53" s="3">
        <v>15</v>
      </c>
      <c r="L53" s="3">
        <v>15</v>
      </c>
      <c r="M53" s="3">
        <v>15</v>
      </c>
      <c r="N53" s="3">
        <v>15</v>
      </c>
      <c r="O53" s="3">
        <v>15</v>
      </c>
    </row>
    <row r="54" spans="1:15" x14ac:dyDescent="0.25">
      <c r="A54" t="s">
        <v>80</v>
      </c>
      <c r="B54" s="3" t="s">
        <v>10</v>
      </c>
      <c r="C54" s="3" t="s">
        <v>10</v>
      </c>
      <c r="D54" s="3" t="s">
        <v>10</v>
      </c>
      <c r="E54" s="3" t="s">
        <v>10</v>
      </c>
      <c r="F54" s="3" t="s">
        <v>10</v>
      </c>
      <c r="G54" s="3" t="s">
        <v>10</v>
      </c>
      <c r="H54" s="3" t="s">
        <v>10</v>
      </c>
      <c r="I54" s="1" t="s">
        <v>10</v>
      </c>
      <c r="J54" s="3" t="s">
        <v>10</v>
      </c>
      <c r="K54" s="3" t="s">
        <v>10</v>
      </c>
      <c r="L54" s="3" t="s">
        <v>10</v>
      </c>
      <c r="M54" s="3" t="s">
        <v>10</v>
      </c>
      <c r="N54" s="3" t="s">
        <v>10</v>
      </c>
      <c r="O54" s="3" t="s">
        <v>10</v>
      </c>
    </row>
    <row r="55" spans="1:15" x14ac:dyDescent="0.25">
      <c r="A55" t="s">
        <v>81</v>
      </c>
      <c r="B55" s="3" t="s">
        <v>18</v>
      </c>
      <c r="C55" s="6" t="s">
        <v>5</v>
      </c>
      <c r="D55" s="3" t="s">
        <v>5</v>
      </c>
      <c r="E55" s="3" t="s">
        <v>11</v>
      </c>
      <c r="F55" s="3" t="s">
        <v>19</v>
      </c>
      <c r="G55" s="3" t="s">
        <v>19</v>
      </c>
      <c r="H55" s="6" t="s">
        <v>151</v>
      </c>
      <c r="I55" s="1" t="s">
        <v>157</v>
      </c>
      <c r="J55" s="6" t="s">
        <v>9</v>
      </c>
      <c r="K55" s="6" t="s">
        <v>252</v>
      </c>
      <c r="L55" s="6" t="s">
        <v>252</v>
      </c>
      <c r="M55" s="6" t="s">
        <v>5</v>
      </c>
      <c r="N55" s="6" t="s">
        <v>5</v>
      </c>
      <c r="O55" s="6" t="s">
        <v>25</v>
      </c>
    </row>
    <row r="56" spans="1:15" x14ac:dyDescent="0.25">
      <c r="A56" t="s">
        <v>82</v>
      </c>
      <c r="B56" s="3">
        <v>200</v>
      </c>
      <c r="C56" s="3">
        <v>200</v>
      </c>
      <c r="D56" s="3">
        <v>200</v>
      </c>
      <c r="E56" s="3">
        <v>200</v>
      </c>
      <c r="F56" s="3">
        <v>200</v>
      </c>
      <c r="G56" s="3">
        <v>200</v>
      </c>
      <c r="H56" s="3">
        <v>80</v>
      </c>
      <c r="I56" s="1">
        <v>80</v>
      </c>
      <c r="J56" s="3">
        <v>200</v>
      </c>
      <c r="K56" s="3">
        <v>200</v>
      </c>
      <c r="L56" s="3">
        <v>200</v>
      </c>
      <c r="M56" s="3">
        <v>200</v>
      </c>
      <c r="N56" s="3">
        <v>200</v>
      </c>
      <c r="O56" s="3">
        <v>200</v>
      </c>
    </row>
    <row r="57" spans="1:15" x14ac:dyDescent="0.25">
      <c r="A57" t="s">
        <v>83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1">
        <v>0</v>
      </c>
      <c r="J57" s="3">
        <v>0</v>
      </c>
      <c r="K57" s="3">
        <v>0</v>
      </c>
      <c r="L57" s="3">
        <v>0</v>
      </c>
      <c r="M57" s="3">
        <v>0</v>
      </c>
      <c r="N57" s="3">
        <v>0</v>
      </c>
      <c r="O57" s="3">
        <v>0</v>
      </c>
    </row>
    <row r="58" spans="1:15" x14ac:dyDescent="0.25">
      <c r="A58" t="s">
        <v>84</v>
      </c>
      <c r="B58" s="3">
        <v>4</v>
      </c>
      <c r="C58" s="3">
        <v>4</v>
      </c>
      <c r="D58" s="3">
        <v>4</v>
      </c>
      <c r="E58" s="3">
        <v>4</v>
      </c>
      <c r="F58" s="3">
        <v>4</v>
      </c>
      <c r="G58" s="3">
        <v>4</v>
      </c>
      <c r="H58" s="3">
        <v>4</v>
      </c>
      <c r="I58" s="1">
        <v>4</v>
      </c>
      <c r="J58" s="3">
        <v>4</v>
      </c>
      <c r="K58" s="3">
        <v>4</v>
      </c>
      <c r="L58" s="3">
        <v>4</v>
      </c>
      <c r="M58" s="3">
        <v>4</v>
      </c>
      <c r="N58" s="3">
        <v>4</v>
      </c>
      <c r="O58" s="3">
        <v>4</v>
      </c>
    </row>
    <row r="59" spans="1:15" x14ac:dyDescent="0.25">
      <c r="A59" t="s">
        <v>85</v>
      </c>
      <c r="C59" s="3"/>
      <c r="J59" s="3"/>
      <c r="K59" s="3"/>
      <c r="L59" s="3"/>
      <c r="M59" s="3"/>
      <c r="N59" s="3"/>
      <c r="O59" s="3"/>
    </row>
    <row r="60" spans="1:15" x14ac:dyDescent="0.25">
      <c r="A60" t="s">
        <v>86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1">
        <v>0</v>
      </c>
      <c r="J60" s="3">
        <v>0</v>
      </c>
      <c r="K60" s="3">
        <v>0</v>
      </c>
      <c r="L60" s="3">
        <v>0</v>
      </c>
      <c r="M60" s="3">
        <v>0</v>
      </c>
      <c r="N60" s="3">
        <v>0</v>
      </c>
      <c r="O60" s="3">
        <v>0</v>
      </c>
    </row>
    <row r="61" spans="1:15" x14ac:dyDescent="0.25">
      <c r="A61" t="s">
        <v>87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1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</row>
    <row r="62" spans="1:15" x14ac:dyDescent="0.25">
      <c r="A62" t="s">
        <v>88</v>
      </c>
      <c r="B62" s="3" t="s">
        <v>12</v>
      </c>
      <c r="C62" s="6" t="s">
        <v>12</v>
      </c>
      <c r="D62" s="3" t="s">
        <v>12</v>
      </c>
      <c r="E62" s="3" t="s">
        <v>12</v>
      </c>
      <c r="F62" s="3" t="s">
        <v>12</v>
      </c>
      <c r="G62" s="3" t="s">
        <v>12</v>
      </c>
      <c r="H62" s="6" t="s">
        <v>12</v>
      </c>
      <c r="I62" s="1" t="s">
        <v>12</v>
      </c>
      <c r="J62" s="6" t="s">
        <v>12</v>
      </c>
      <c r="K62" s="6" t="s">
        <v>12</v>
      </c>
      <c r="L62" s="6" t="s">
        <v>12</v>
      </c>
      <c r="M62" s="6" t="s">
        <v>12</v>
      </c>
      <c r="N62" s="6" t="s">
        <v>12</v>
      </c>
      <c r="O62" s="6" t="s">
        <v>12</v>
      </c>
    </row>
    <row r="63" spans="1:15" x14ac:dyDescent="0.25">
      <c r="A63" t="s">
        <v>89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1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</row>
    <row r="64" spans="1:15" x14ac:dyDescent="0.25">
      <c r="A64" t="s">
        <v>90</v>
      </c>
      <c r="B64" s="3">
        <v>1800</v>
      </c>
      <c r="C64" s="3">
        <v>1200</v>
      </c>
      <c r="D64" s="3">
        <v>1800</v>
      </c>
      <c r="E64" s="3">
        <v>1800</v>
      </c>
      <c r="F64" s="3">
        <v>1600</v>
      </c>
      <c r="G64" s="3">
        <v>1600</v>
      </c>
      <c r="H64" s="3">
        <v>300</v>
      </c>
      <c r="I64" s="1">
        <v>300</v>
      </c>
      <c r="J64" s="3">
        <v>800</v>
      </c>
      <c r="K64" s="3">
        <v>800</v>
      </c>
      <c r="L64" s="3">
        <v>800</v>
      </c>
      <c r="M64" s="3">
        <v>800</v>
      </c>
      <c r="N64" s="3">
        <v>800</v>
      </c>
      <c r="O64" s="3">
        <v>800</v>
      </c>
    </row>
    <row r="65" spans="1:15" x14ac:dyDescent="0.25">
      <c r="A65" t="s">
        <v>91</v>
      </c>
      <c r="B65" s="3">
        <v>1</v>
      </c>
      <c r="C65" s="3">
        <v>1</v>
      </c>
      <c r="D65" s="3">
        <v>1</v>
      </c>
      <c r="E65" s="3">
        <v>1</v>
      </c>
      <c r="F65" s="3">
        <v>1</v>
      </c>
      <c r="G65" s="3">
        <v>1</v>
      </c>
      <c r="H65" s="3">
        <v>1</v>
      </c>
      <c r="I65" s="1">
        <v>1</v>
      </c>
      <c r="J65" s="3">
        <v>1</v>
      </c>
      <c r="K65" s="3">
        <v>1</v>
      </c>
      <c r="L65" s="3">
        <v>1</v>
      </c>
      <c r="M65" s="3">
        <v>1</v>
      </c>
      <c r="N65" s="3">
        <v>1</v>
      </c>
      <c r="O65" s="3">
        <v>1</v>
      </c>
    </row>
    <row r="66" spans="1:15" x14ac:dyDescent="0.25">
      <c r="A66" t="s">
        <v>92</v>
      </c>
      <c r="B66" s="3" t="s">
        <v>6</v>
      </c>
      <c r="C66" s="6" t="s">
        <v>6</v>
      </c>
      <c r="D66" s="3" t="s">
        <v>6</v>
      </c>
      <c r="E66" s="3" t="s">
        <v>6</v>
      </c>
      <c r="F66" s="3" t="s">
        <v>6</v>
      </c>
      <c r="G66" s="3" t="s">
        <v>3</v>
      </c>
      <c r="H66" s="6" t="s">
        <v>6</v>
      </c>
      <c r="I66" s="1" t="s">
        <v>6</v>
      </c>
      <c r="J66" s="6" t="s">
        <v>6</v>
      </c>
      <c r="K66" s="6" t="s">
        <v>6</v>
      </c>
      <c r="L66" s="6" t="s">
        <v>6</v>
      </c>
      <c r="M66" s="6" t="s">
        <v>6</v>
      </c>
      <c r="N66" s="6" t="s">
        <v>6</v>
      </c>
      <c r="O66" s="6" t="s">
        <v>3</v>
      </c>
    </row>
    <row r="67" spans="1:15" x14ac:dyDescent="0.25">
      <c r="A67" t="s">
        <v>93</v>
      </c>
      <c r="B67" s="3">
        <v>85</v>
      </c>
      <c r="C67" s="3">
        <v>75</v>
      </c>
      <c r="D67" s="3">
        <v>85</v>
      </c>
      <c r="E67" s="3">
        <v>85</v>
      </c>
      <c r="F67" s="3">
        <v>90</v>
      </c>
      <c r="G67" s="3">
        <v>95</v>
      </c>
      <c r="H67" s="3">
        <v>30</v>
      </c>
      <c r="I67" s="1">
        <v>30</v>
      </c>
      <c r="J67" s="3">
        <v>45</v>
      </c>
      <c r="K67" s="3">
        <v>45</v>
      </c>
      <c r="L67" s="3">
        <v>60</v>
      </c>
      <c r="M67" s="3">
        <v>45</v>
      </c>
      <c r="N67" s="3">
        <v>60</v>
      </c>
      <c r="O67" s="3">
        <v>50</v>
      </c>
    </row>
    <row r="68" spans="1:15" x14ac:dyDescent="0.25">
      <c r="A68" t="s">
        <v>94</v>
      </c>
      <c r="B68" s="3">
        <v>2</v>
      </c>
      <c r="C68" s="3">
        <v>2</v>
      </c>
      <c r="D68" s="3">
        <v>2</v>
      </c>
      <c r="E68" s="3">
        <v>2</v>
      </c>
      <c r="F68" s="3">
        <v>2</v>
      </c>
      <c r="G68" s="3">
        <v>2</v>
      </c>
      <c r="H68" s="3">
        <v>3</v>
      </c>
      <c r="I68" s="1">
        <v>3</v>
      </c>
      <c r="J68" s="3">
        <v>2</v>
      </c>
      <c r="K68" s="3">
        <v>2</v>
      </c>
      <c r="L68" s="3">
        <v>2</v>
      </c>
      <c r="M68" s="3">
        <v>2</v>
      </c>
      <c r="N68" s="3">
        <v>2</v>
      </c>
      <c r="O68" s="3">
        <v>2</v>
      </c>
    </row>
    <row r="69" spans="1:15" x14ac:dyDescent="0.25">
      <c r="A69" t="s">
        <v>95</v>
      </c>
      <c r="C69" s="3"/>
      <c r="J69" s="3"/>
      <c r="K69" s="3"/>
      <c r="L69" s="3"/>
      <c r="M69" s="3"/>
      <c r="N69" s="3"/>
      <c r="O69" s="3"/>
    </row>
    <row r="70" spans="1:15" x14ac:dyDescent="0.25">
      <c r="A70" t="s">
        <v>96</v>
      </c>
      <c r="C70" s="3"/>
      <c r="J70" s="3"/>
      <c r="K70" s="3"/>
      <c r="L70" s="3"/>
      <c r="M70" s="3"/>
      <c r="N70" s="3"/>
      <c r="O70" s="3"/>
    </row>
    <row r="71" spans="1:15" x14ac:dyDescent="0.25">
      <c r="A71" t="s">
        <v>97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1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</row>
    <row r="72" spans="1:15" x14ac:dyDescent="0.25">
      <c r="A72" t="s">
        <v>98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1">
        <v>0</v>
      </c>
      <c r="J72" s="3">
        <v>0</v>
      </c>
      <c r="K72" s="3">
        <v>0</v>
      </c>
      <c r="L72" s="3">
        <v>0</v>
      </c>
      <c r="M72" s="3">
        <v>0</v>
      </c>
      <c r="N72" s="3">
        <v>0</v>
      </c>
      <c r="O72" s="3">
        <v>0</v>
      </c>
    </row>
    <row r="73" spans="1:15" x14ac:dyDescent="0.25">
      <c r="A73" t="s">
        <v>99</v>
      </c>
      <c r="B73" s="3" t="s">
        <v>13</v>
      </c>
      <c r="C73" s="3" t="s">
        <v>13</v>
      </c>
      <c r="D73" s="3" t="s">
        <v>13</v>
      </c>
      <c r="E73" s="3" t="s">
        <v>13</v>
      </c>
      <c r="F73" s="3" t="s">
        <v>13</v>
      </c>
      <c r="G73" s="3" t="s">
        <v>13</v>
      </c>
      <c r="H73" s="3" t="s">
        <v>13</v>
      </c>
      <c r="I73" s="1" t="s">
        <v>13</v>
      </c>
      <c r="J73" s="3" t="s">
        <v>13</v>
      </c>
      <c r="K73" s="3" t="s">
        <v>13</v>
      </c>
      <c r="L73" s="3" t="s">
        <v>13</v>
      </c>
      <c r="M73" s="3" t="s">
        <v>13</v>
      </c>
      <c r="N73" s="3" t="s">
        <v>13</v>
      </c>
      <c r="O73" s="3" t="s">
        <v>13</v>
      </c>
    </row>
    <row r="74" spans="1:15" x14ac:dyDescent="0.25">
      <c r="A74" t="s">
        <v>100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1">
        <v>0</v>
      </c>
      <c r="J74" s="3">
        <v>0</v>
      </c>
      <c r="K74" s="3">
        <v>0</v>
      </c>
      <c r="L74" s="3">
        <v>0</v>
      </c>
      <c r="M74" s="3">
        <v>0</v>
      </c>
      <c r="N74" s="3">
        <v>0</v>
      </c>
      <c r="O74" s="3">
        <v>0</v>
      </c>
    </row>
    <row r="75" spans="1:15" x14ac:dyDescent="0.25">
      <c r="A75" t="s">
        <v>101</v>
      </c>
      <c r="B75" s="3">
        <v>5</v>
      </c>
      <c r="C75" s="3">
        <v>5</v>
      </c>
      <c r="D75" s="3">
        <v>5</v>
      </c>
      <c r="E75" s="3">
        <v>5</v>
      </c>
      <c r="F75" s="3">
        <v>5</v>
      </c>
      <c r="G75" s="3">
        <v>5</v>
      </c>
      <c r="H75" s="3">
        <v>2</v>
      </c>
      <c r="I75" s="1">
        <v>2</v>
      </c>
      <c r="J75" s="3">
        <v>2</v>
      </c>
      <c r="K75" s="3">
        <v>2</v>
      </c>
      <c r="L75" s="3">
        <v>2</v>
      </c>
      <c r="M75" s="3">
        <v>2</v>
      </c>
      <c r="N75" s="3">
        <v>2</v>
      </c>
      <c r="O75" s="3">
        <v>2</v>
      </c>
    </row>
    <row r="76" spans="1:15" x14ac:dyDescent="0.25">
      <c r="A76" t="s">
        <v>102</v>
      </c>
      <c r="B76" s="3">
        <v>2</v>
      </c>
      <c r="C76" s="3">
        <v>2</v>
      </c>
      <c r="D76" s="3">
        <v>2</v>
      </c>
      <c r="E76" s="3">
        <v>2</v>
      </c>
      <c r="F76" s="3">
        <v>2</v>
      </c>
      <c r="G76" s="3">
        <v>2</v>
      </c>
      <c r="H76" s="3">
        <v>3</v>
      </c>
      <c r="I76" s="1">
        <v>3</v>
      </c>
      <c r="J76" s="3">
        <v>3</v>
      </c>
      <c r="K76" s="3">
        <v>3</v>
      </c>
      <c r="L76" s="3">
        <v>3</v>
      </c>
      <c r="M76" s="3">
        <v>3</v>
      </c>
      <c r="N76" s="3">
        <v>3</v>
      </c>
      <c r="O76" s="3">
        <v>3</v>
      </c>
    </row>
    <row r="77" spans="1:15" x14ac:dyDescent="0.25">
      <c r="A77" t="s">
        <v>103</v>
      </c>
      <c r="B77" s="3">
        <v>1</v>
      </c>
      <c r="C77" s="3">
        <v>1</v>
      </c>
      <c r="D77" s="3">
        <v>1</v>
      </c>
      <c r="E77" s="3">
        <v>1</v>
      </c>
      <c r="F77" s="3">
        <v>1</v>
      </c>
      <c r="G77" s="3">
        <v>1</v>
      </c>
      <c r="H77" s="3">
        <v>1</v>
      </c>
      <c r="I77" s="1">
        <v>1</v>
      </c>
      <c r="J77" s="3">
        <v>1</v>
      </c>
      <c r="K77" s="3">
        <v>1</v>
      </c>
      <c r="L77" s="3">
        <v>1</v>
      </c>
      <c r="M77" s="3">
        <v>1</v>
      </c>
      <c r="N77" s="3">
        <v>1</v>
      </c>
      <c r="O77" s="3">
        <v>1</v>
      </c>
    </row>
    <row r="78" spans="1:15" x14ac:dyDescent="0.25">
      <c r="A78" t="s">
        <v>104</v>
      </c>
      <c r="B78" s="3" t="s">
        <v>14</v>
      </c>
      <c r="C78" s="6" t="s">
        <v>14</v>
      </c>
      <c r="D78" s="3" t="s">
        <v>14</v>
      </c>
      <c r="E78" s="3" t="s">
        <v>14</v>
      </c>
      <c r="F78" s="3" t="s">
        <v>14</v>
      </c>
      <c r="G78" s="3" t="s">
        <v>14</v>
      </c>
      <c r="H78" s="6" t="s">
        <v>14</v>
      </c>
      <c r="I78" s="1" t="s">
        <v>14</v>
      </c>
      <c r="J78" s="6" t="s">
        <v>14</v>
      </c>
      <c r="K78" s="6" t="s">
        <v>14</v>
      </c>
      <c r="L78" s="6" t="s">
        <v>14</v>
      </c>
      <c r="M78" s="6" t="s">
        <v>14</v>
      </c>
      <c r="N78" s="6" t="s">
        <v>14</v>
      </c>
      <c r="O78" s="6" t="s">
        <v>14</v>
      </c>
    </row>
    <row r="79" spans="1:15" x14ac:dyDescent="0.25">
      <c r="A79" t="s">
        <v>105</v>
      </c>
      <c r="B79" s="3">
        <v>30</v>
      </c>
      <c r="C79" s="3">
        <v>30</v>
      </c>
      <c r="D79" s="3">
        <v>30</v>
      </c>
      <c r="E79" s="3">
        <v>30</v>
      </c>
      <c r="F79" s="3">
        <v>35</v>
      </c>
      <c r="G79" s="3">
        <v>35</v>
      </c>
      <c r="H79" s="3">
        <v>20</v>
      </c>
      <c r="I79" s="1">
        <v>20</v>
      </c>
      <c r="J79" s="3">
        <v>25</v>
      </c>
      <c r="K79" s="3">
        <v>25</v>
      </c>
      <c r="L79" s="3">
        <v>25</v>
      </c>
      <c r="M79" s="3">
        <v>25</v>
      </c>
      <c r="N79" s="3">
        <v>25</v>
      </c>
      <c r="O79" s="3">
        <v>30</v>
      </c>
    </row>
    <row r="80" spans="1:15" x14ac:dyDescent="0.25">
      <c r="A80" t="s">
        <v>106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1">
        <v>0</v>
      </c>
      <c r="J80" s="3">
        <v>0</v>
      </c>
      <c r="K80" s="3">
        <v>0</v>
      </c>
      <c r="L80" s="3">
        <v>0</v>
      </c>
      <c r="M80" s="3">
        <v>0</v>
      </c>
      <c r="N80" s="3">
        <v>0</v>
      </c>
      <c r="O80" s="3">
        <v>0</v>
      </c>
    </row>
    <row r="81" spans="1:15" x14ac:dyDescent="0.25">
      <c r="A81" t="s">
        <v>107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1">
        <v>0</v>
      </c>
      <c r="J81" s="3">
        <v>0</v>
      </c>
      <c r="K81" s="3">
        <v>0</v>
      </c>
      <c r="L81" s="3">
        <v>0</v>
      </c>
      <c r="M81" s="3">
        <v>0</v>
      </c>
      <c r="N81" s="3">
        <v>0</v>
      </c>
      <c r="O81" s="3">
        <v>0</v>
      </c>
    </row>
    <row r="82" spans="1:15" x14ac:dyDescent="0.25">
      <c r="A82" t="s">
        <v>108</v>
      </c>
      <c r="B82" s="3">
        <v>1</v>
      </c>
      <c r="C82" s="3">
        <v>1</v>
      </c>
      <c r="D82" s="3">
        <v>1</v>
      </c>
      <c r="E82" s="3">
        <v>1</v>
      </c>
      <c r="F82" s="3">
        <v>1</v>
      </c>
      <c r="G82" s="3">
        <v>1</v>
      </c>
      <c r="H82" s="3">
        <v>1</v>
      </c>
      <c r="I82" s="1">
        <v>1</v>
      </c>
      <c r="J82" s="3">
        <v>1</v>
      </c>
      <c r="K82" s="3">
        <v>1</v>
      </c>
      <c r="L82" s="3">
        <v>1</v>
      </c>
      <c r="M82" s="3">
        <v>1</v>
      </c>
      <c r="N82" s="3">
        <v>1</v>
      </c>
      <c r="O82" s="3">
        <v>1</v>
      </c>
    </row>
    <row r="83" spans="1:15" x14ac:dyDescent="0.25">
      <c r="A83" t="s">
        <v>109</v>
      </c>
      <c r="B83" s="3" t="s">
        <v>6</v>
      </c>
      <c r="C83" s="6" t="s">
        <v>6</v>
      </c>
      <c r="D83" s="3" t="s">
        <v>6</v>
      </c>
      <c r="E83" s="3" t="s">
        <v>6</v>
      </c>
      <c r="F83" s="3" t="s">
        <v>6</v>
      </c>
      <c r="G83" s="3" t="s">
        <v>3</v>
      </c>
      <c r="H83" s="6" t="s">
        <v>6</v>
      </c>
      <c r="I83" s="1" t="s">
        <v>6</v>
      </c>
      <c r="J83" s="6" t="s">
        <v>6</v>
      </c>
      <c r="K83" s="6" t="s">
        <v>6</v>
      </c>
      <c r="L83" s="6" t="s">
        <v>6</v>
      </c>
      <c r="M83" s="6" t="s">
        <v>6</v>
      </c>
      <c r="N83" s="6" t="s">
        <v>6</v>
      </c>
      <c r="O83" s="6" t="s">
        <v>3</v>
      </c>
    </row>
    <row r="84" spans="1:15" x14ac:dyDescent="0.25">
      <c r="A84" t="s">
        <v>110</v>
      </c>
      <c r="B84" s="3">
        <v>150</v>
      </c>
      <c r="C84" s="3">
        <v>125</v>
      </c>
      <c r="D84" s="3">
        <v>125</v>
      </c>
      <c r="E84" s="3">
        <v>125</v>
      </c>
      <c r="F84" s="3">
        <v>100</v>
      </c>
      <c r="G84" s="3">
        <v>100</v>
      </c>
      <c r="H84" s="3">
        <v>30</v>
      </c>
      <c r="I84" s="1">
        <v>40</v>
      </c>
      <c r="J84" s="3">
        <v>80</v>
      </c>
      <c r="K84" s="3">
        <v>80</v>
      </c>
      <c r="L84" s="3">
        <v>200</v>
      </c>
      <c r="M84" s="3">
        <v>80</v>
      </c>
      <c r="N84" s="3">
        <v>200</v>
      </c>
      <c r="O84" s="3">
        <v>80</v>
      </c>
    </row>
    <row r="85" spans="1:15" x14ac:dyDescent="0.25">
      <c r="A85" t="s">
        <v>111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1">
        <v>0</v>
      </c>
      <c r="J85" s="3">
        <v>0</v>
      </c>
      <c r="K85" s="3">
        <v>0</v>
      </c>
      <c r="L85" s="3">
        <v>0</v>
      </c>
      <c r="M85" s="3">
        <v>0</v>
      </c>
      <c r="N85" s="3">
        <v>0</v>
      </c>
      <c r="O85" s="3">
        <v>0</v>
      </c>
    </row>
    <row r="86" spans="1:15" x14ac:dyDescent="0.25">
      <c r="A86" t="s">
        <v>112</v>
      </c>
      <c r="B86" s="3">
        <v>-5</v>
      </c>
      <c r="C86" s="3">
        <v>-5</v>
      </c>
      <c r="D86" s="3">
        <v>-5</v>
      </c>
      <c r="E86" s="3">
        <v>-5</v>
      </c>
      <c r="F86" s="3">
        <v>-5</v>
      </c>
      <c r="G86" s="3">
        <v>-5</v>
      </c>
      <c r="H86" s="3">
        <v>-5</v>
      </c>
      <c r="I86" s="1">
        <v>-5</v>
      </c>
      <c r="J86" s="3">
        <v>-5</v>
      </c>
      <c r="K86" s="3">
        <v>-5</v>
      </c>
      <c r="L86" s="3">
        <v>-5</v>
      </c>
      <c r="M86" s="3">
        <v>-5</v>
      </c>
      <c r="N86" s="3">
        <v>-5</v>
      </c>
      <c r="O86" s="3">
        <v>-5</v>
      </c>
    </row>
    <row r="87" spans="1:15" x14ac:dyDescent="0.25">
      <c r="A87" t="s">
        <v>113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1">
        <v>0</v>
      </c>
      <c r="J87" s="3">
        <v>0</v>
      </c>
      <c r="K87" s="3">
        <v>0</v>
      </c>
      <c r="L87" s="3">
        <v>0</v>
      </c>
      <c r="M87" s="3">
        <v>0</v>
      </c>
      <c r="N87" s="3">
        <v>0</v>
      </c>
      <c r="O87" s="3">
        <v>0</v>
      </c>
    </row>
    <row r="88" spans="1:15" x14ac:dyDescent="0.25">
      <c r="A88" t="s">
        <v>114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1">
        <v>0</v>
      </c>
      <c r="J88" s="3">
        <v>0</v>
      </c>
      <c r="K88" s="3">
        <v>0</v>
      </c>
      <c r="L88" s="3">
        <v>0</v>
      </c>
      <c r="M88" s="3">
        <v>0</v>
      </c>
      <c r="N88" s="3">
        <v>0</v>
      </c>
      <c r="O88" s="3">
        <v>0</v>
      </c>
    </row>
    <row r="89" spans="1:15" x14ac:dyDescent="0.25">
      <c r="A89" t="s">
        <v>115</v>
      </c>
      <c r="B89" s="3">
        <v>1</v>
      </c>
      <c r="C89" s="3">
        <v>1</v>
      </c>
      <c r="D89" s="3">
        <v>1</v>
      </c>
      <c r="E89" s="3">
        <v>1</v>
      </c>
      <c r="F89" s="3">
        <v>1</v>
      </c>
      <c r="G89" s="3">
        <v>1</v>
      </c>
      <c r="H89" s="3">
        <v>1</v>
      </c>
      <c r="I89" s="1">
        <v>1</v>
      </c>
      <c r="J89" s="3">
        <v>1</v>
      </c>
      <c r="K89" s="3">
        <v>1</v>
      </c>
      <c r="L89" s="3">
        <v>1</v>
      </c>
      <c r="M89" s="3">
        <v>1</v>
      </c>
      <c r="N89" s="3">
        <v>1</v>
      </c>
      <c r="O89" s="3">
        <v>1</v>
      </c>
    </row>
    <row r="90" spans="1:15" x14ac:dyDescent="0.25">
      <c r="A90" t="s">
        <v>116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1">
        <v>0</v>
      </c>
      <c r="J90" s="3">
        <v>0</v>
      </c>
      <c r="K90" s="3">
        <v>0</v>
      </c>
      <c r="L90" s="3">
        <v>0</v>
      </c>
      <c r="M90" s="3">
        <v>0</v>
      </c>
      <c r="N90" s="3">
        <v>0</v>
      </c>
      <c r="O90" s="3">
        <v>0</v>
      </c>
    </row>
    <row r="91" spans="1:15" x14ac:dyDescent="0.25">
      <c r="A91" t="s">
        <v>117</v>
      </c>
      <c r="B91" s="3" t="s">
        <v>9</v>
      </c>
      <c r="C91" s="6" t="s">
        <v>9</v>
      </c>
      <c r="D91" s="3" t="s">
        <v>9</v>
      </c>
      <c r="E91" s="3" t="s">
        <v>9</v>
      </c>
      <c r="F91" s="3" t="s">
        <v>9</v>
      </c>
      <c r="G91" s="3" t="s">
        <v>9</v>
      </c>
      <c r="H91" s="6" t="s">
        <v>9</v>
      </c>
      <c r="I91" s="1" t="s">
        <v>9</v>
      </c>
      <c r="J91" s="6" t="s">
        <v>9</v>
      </c>
      <c r="K91" s="6" t="s">
        <v>9</v>
      </c>
      <c r="L91" s="6" t="s">
        <v>9</v>
      </c>
      <c r="M91" s="6" t="s">
        <v>9</v>
      </c>
      <c r="N91" s="6" t="s">
        <v>9</v>
      </c>
      <c r="O91" s="6" t="s">
        <v>9</v>
      </c>
    </row>
    <row r="92" spans="1:15" x14ac:dyDescent="0.25">
      <c r="A92" t="s">
        <v>118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1">
        <v>0</v>
      </c>
      <c r="J92" s="3">
        <v>0</v>
      </c>
      <c r="K92" s="3">
        <v>0</v>
      </c>
      <c r="L92" s="3">
        <v>0</v>
      </c>
      <c r="M92" s="3">
        <v>0</v>
      </c>
      <c r="N92" s="3">
        <v>0</v>
      </c>
      <c r="O92" s="3">
        <v>0</v>
      </c>
    </row>
    <row r="93" spans="1:15" x14ac:dyDescent="0.25">
      <c r="A93" t="s">
        <v>119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1">
        <v>0</v>
      </c>
      <c r="J93" s="3">
        <v>0</v>
      </c>
      <c r="K93" s="3">
        <v>0</v>
      </c>
      <c r="L93" s="3">
        <v>0</v>
      </c>
      <c r="M93" s="3">
        <v>0</v>
      </c>
      <c r="N93" s="3">
        <v>0</v>
      </c>
      <c r="O93" s="3">
        <v>0</v>
      </c>
    </row>
    <row r="94" spans="1:15" x14ac:dyDescent="0.25">
      <c r="A94" t="s">
        <v>120</v>
      </c>
      <c r="B94" s="3" t="s">
        <v>15</v>
      </c>
      <c r="C94" s="6" t="s">
        <v>15</v>
      </c>
      <c r="D94" s="3" t="s">
        <v>15</v>
      </c>
      <c r="E94" s="3" t="s">
        <v>15</v>
      </c>
      <c r="F94" s="3" t="s">
        <v>20</v>
      </c>
      <c r="G94" s="3" t="s">
        <v>20</v>
      </c>
      <c r="H94" s="6" t="s">
        <v>25</v>
      </c>
      <c r="I94" s="1" t="s">
        <v>25</v>
      </c>
      <c r="J94" s="6" t="s">
        <v>15</v>
      </c>
      <c r="K94" s="6" t="s">
        <v>15</v>
      </c>
      <c r="L94" s="6" t="s">
        <v>15</v>
      </c>
      <c r="M94" s="6" t="s">
        <v>15</v>
      </c>
      <c r="N94" s="6" t="s">
        <v>15</v>
      </c>
      <c r="O94" s="6" t="s">
        <v>20</v>
      </c>
    </row>
    <row r="95" spans="1:15" x14ac:dyDescent="0.25">
      <c r="A95" t="s">
        <v>121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1">
        <v>0</v>
      </c>
      <c r="J95" s="3">
        <v>0</v>
      </c>
      <c r="K95" s="3">
        <v>0</v>
      </c>
      <c r="L95" s="3">
        <v>0</v>
      </c>
      <c r="M95" s="3">
        <v>0</v>
      </c>
      <c r="N95" s="3">
        <v>0</v>
      </c>
      <c r="O95" s="3">
        <v>0</v>
      </c>
    </row>
    <row r="96" spans="1:15" x14ac:dyDescent="0.25">
      <c r="A96" t="s">
        <v>122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1">
        <v>0</v>
      </c>
      <c r="J96" s="3">
        <v>0</v>
      </c>
      <c r="K96" s="3">
        <v>0</v>
      </c>
      <c r="L96" s="3">
        <v>0</v>
      </c>
      <c r="M96" s="3">
        <v>0</v>
      </c>
      <c r="N96" s="3">
        <v>0</v>
      </c>
      <c r="O96" s="3">
        <v>0</v>
      </c>
    </row>
    <row r="97" spans="1:15" x14ac:dyDescent="0.25">
      <c r="A97" t="s">
        <v>123</v>
      </c>
      <c r="B97" s="3">
        <v>2</v>
      </c>
      <c r="C97" s="3">
        <v>2</v>
      </c>
      <c r="D97" s="3">
        <v>2</v>
      </c>
      <c r="E97" s="3">
        <v>2</v>
      </c>
      <c r="F97" s="3">
        <v>2</v>
      </c>
      <c r="G97" s="3">
        <v>2</v>
      </c>
      <c r="H97" s="3">
        <v>2</v>
      </c>
      <c r="I97" s="1">
        <v>2</v>
      </c>
      <c r="J97" s="3">
        <v>2</v>
      </c>
      <c r="K97" s="3">
        <v>2</v>
      </c>
      <c r="L97" s="3">
        <v>2</v>
      </c>
      <c r="M97" s="3">
        <v>2</v>
      </c>
      <c r="N97" s="3">
        <v>2</v>
      </c>
      <c r="O97" s="3">
        <v>2</v>
      </c>
    </row>
    <row r="98" spans="1:15" x14ac:dyDescent="0.25">
      <c r="A98" t="s">
        <v>124</v>
      </c>
      <c r="B98" s="3" t="s">
        <v>5</v>
      </c>
      <c r="C98" s="6" t="s">
        <v>5</v>
      </c>
      <c r="D98" s="3" t="s">
        <v>5</v>
      </c>
      <c r="E98" s="3" t="s">
        <v>5</v>
      </c>
      <c r="F98" s="3" t="s">
        <v>5</v>
      </c>
      <c r="G98" s="3" t="s">
        <v>5</v>
      </c>
      <c r="H98" s="6" t="s">
        <v>5</v>
      </c>
      <c r="I98" s="1" t="s">
        <v>5</v>
      </c>
      <c r="J98" s="6" t="s">
        <v>5</v>
      </c>
      <c r="K98" s="6" t="s">
        <v>5</v>
      </c>
      <c r="L98" s="6" t="s">
        <v>5</v>
      </c>
      <c r="M98" s="6" t="s">
        <v>5</v>
      </c>
      <c r="N98" s="6" t="s">
        <v>5</v>
      </c>
      <c r="O98" s="6" t="s">
        <v>5</v>
      </c>
    </row>
    <row r="99" spans="1:15" x14ac:dyDescent="0.25">
      <c r="A99" t="s">
        <v>125</v>
      </c>
      <c r="B99" s="2">
        <v>1</v>
      </c>
      <c r="C99" s="5">
        <v>1</v>
      </c>
      <c r="D99" s="2">
        <v>1</v>
      </c>
      <c r="E99" s="2">
        <v>1</v>
      </c>
      <c r="F99" s="2">
        <v>1</v>
      </c>
      <c r="G99" s="2">
        <v>1</v>
      </c>
      <c r="H99" s="5">
        <v>1</v>
      </c>
      <c r="I99" s="5">
        <v>1</v>
      </c>
      <c r="J99" s="5">
        <v>1</v>
      </c>
      <c r="K99" s="5">
        <v>1</v>
      </c>
      <c r="L99" s="5">
        <v>1</v>
      </c>
      <c r="M99" s="5">
        <v>1</v>
      </c>
      <c r="N99" s="5">
        <v>1</v>
      </c>
      <c r="O99" s="5">
        <v>1</v>
      </c>
    </row>
    <row r="100" spans="1:15" x14ac:dyDescent="0.25">
      <c r="A100" t="s">
        <v>126</v>
      </c>
      <c r="B100" s="3" t="s">
        <v>2</v>
      </c>
      <c r="C100" s="3" t="s">
        <v>2</v>
      </c>
      <c r="D100" s="3" t="s">
        <v>2</v>
      </c>
      <c r="E100" s="3" t="s">
        <v>2</v>
      </c>
      <c r="F100" s="3" t="s">
        <v>2</v>
      </c>
      <c r="G100" s="3" t="s">
        <v>2</v>
      </c>
      <c r="H100" s="3" t="s">
        <v>2</v>
      </c>
      <c r="I100" s="1" t="s">
        <v>2</v>
      </c>
      <c r="J100" s="3" t="s">
        <v>2</v>
      </c>
      <c r="K100" s="3" t="s">
        <v>2</v>
      </c>
      <c r="L100" s="3" t="s">
        <v>2</v>
      </c>
      <c r="M100" s="3" t="s">
        <v>2</v>
      </c>
      <c r="N100" s="3" t="s">
        <v>2</v>
      </c>
      <c r="O100" s="3" t="s">
        <v>2</v>
      </c>
    </row>
    <row r="101" spans="1:15" x14ac:dyDescent="0.25">
      <c r="A101" t="s">
        <v>127</v>
      </c>
      <c r="B101" s="3">
        <v>2</v>
      </c>
      <c r="C101" s="3">
        <v>2</v>
      </c>
      <c r="D101" s="3">
        <v>2</v>
      </c>
      <c r="E101" s="3">
        <v>2</v>
      </c>
      <c r="F101" s="3">
        <v>2</v>
      </c>
      <c r="G101" s="3">
        <v>2</v>
      </c>
      <c r="H101" s="6" t="s">
        <v>333</v>
      </c>
      <c r="I101" s="6" t="s">
        <v>333</v>
      </c>
      <c r="J101" s="3">
        <v>2</v>
      </c>
      <c r="K101" s="3">
        <v>2</v>
      </c>
      <c r="L101" s="3">
        <v>2</v>
      </c>
      <c r="M101" s="3">
        <v>2</v>
      </c>
      <c r="N101" s="3">
        <v>2</v>
      </c>
      <c r="O101" s="3">
        <v>2</v>
      </c>
    </row>
    <row r="102" spans="1:15" x14ac:dyDescent="0.25">
      <c r="A102" t="s">
        <v>128</v>
      </c>
      <c r="B102" s="3">
        <v>50</v>
      </c>
      <c r="C102" s="3">
        <v>50</v>
      </c>
      <c r="D102" s="3">
        <v>50</v>
      </c>
      <c r="E102" s="3">
        <v>50</v>
      </c>
      <c r="F102" s="3">
        <v>50</v>
      </c>
      <c r="G102" s="3">
        <v>50</v>
      </c>
      <c r="H102" s="3">
        <v>30</v>
      </c>
      <c r="I102" s="1">
        <v>40</v>
      </c>
      <c r="J102" s="3">
        <v>50</v>
      </c>
      <c r="K102" s="3">
        <v>50</v>
      </c>
      <c r="L102" s="3">
        <v>50</v>
      </c>
      <c r="M102" s="3">
        <v>50</v>
      </c>
      <c r="N102" s="3">
        <v>50</v>
      </c>
      <c r="O102" s="3">
        <v>45</v>
      </c>
    </row>
    <row r="103" spans="1:15" x14ac:dyDescent="0.25">
      <c r="A103" t="s">
        <v>129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3">
        <v>0</v>
      </c>
      <c r="H103" s="3">
        <v>0</v>
      </c>
      <c r="I103" s="1">
        <v>0</v>
      </c>
      <c r="J103" s="3">
        <v>0</v>
      </c>
      <c r="K103" s="3">
        <v>0</v>
      </c>
      <c r="L103" s="3">
        <v>0</v>
      </c>
      <c r="M103" s="3">
        <v>0</v>
      </c>
      <c r="N103" s="3">
        <v>0</v>
      </c>
      <c r="O103" s="3">
        <v>0</v>
      </c>
    </row>
    <row r="104" spans="1:15" x14ac:dyDescent="0.25">
      <c r="A104" t="s">
        <v>130</v>
      </c>
      <c r="B104" s="3">
        <v>55</v>
      </c>
      <c r="C104" s="3">
        <v>55</v>
      </c>
      <c r="D104" s="3">
        <v>55</v>
      </c>
      <c r="E104" s="3">
        <v>55</v>
      </c>
      <c r="F104" s="3">
        <v>55</v>
      </c>
      <c r="G104" s="3">
        <v>55</v>
      </c>
      <c r="H104" s="3">
        <v>55</v>
      </c>
      <c r="I104" s="1">
        <v>55</v>
      </c>
      <c r="J104" s="3">
        <v>55</v>
      </c>
      <c r="K104" s="3">
        <v>55</v>
      </c>
      <c r="L104" s="3">
        <v>55</v>
      </c>
      <c r="M104" s="3">
        <v>55</v>
      </c>
      <c r="N104" s="3">
        <v>55</v>
      </c>
      <c r="O104" s="3">
        <v>55</v>
      </c>
    </row>
    <row r="105" spans="1:15" x14ac:dyDescent="0.25">
      <c r="A105" t="s">
        <v>131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3">
        <v>0</v>
      </c>
      <c r="H105" s="3">
        <v>0</v>
      </c>
      <c r="I105" s="1">
        <v>0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</row>
    <row r="106" spans="1:15" x14ac:dyDescent="0.25">
      <c r="A106" t="s">
        <v>132</v>
      </c>
      <c r="B106" s="2">
        <v>0.5</v>
      </c>
      <c r="C106" s="5">
        <v>0.5</v>
      </c>
      <c r="D106" s="2">
        <v>0.5</v>
      </c>
      <c r="E106" s="2">
        <v>0.5</v>
      </c>
      <c r="F106" s="2">
        <v>0.5</v>
      </c>
      <c r="G106" s="2">
        <v>0.5</v>
      </c>
      <c r="H106" s="5">
        <v>0.5</v>
      </c>
      <c r="I106" s="5">
        <v>0.5</v>
      </c>
      <c r="J106" s="5">
        <v>0.5</v>
      </c>
      <c r="K106" s="5">
        <v>0.5</v>
      </c>
      <c r="L106" s="5">
        <v>0.5</v>
      </c>
      <c r="M106" s="5">
        <v>0.5</v>
      </c>
      <c r="N106" s="5">
        <v>0.5</v>
      </c>
      <c r="O106" s="5">
        <v>0.5</v>
      </c>
    </row>
    <row r="107" spans="1:15" x14ac:dyDescent="0.25">
      <c r="A107" t="s">
        <v>133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3">
        <v>0</v>
      </c>
      <c r="H107" s="3">
        <v>0</v>
      </c>
      <c r="I107" s="1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</row>
    <row r="108" spans="1:15" x14ac:dyDescent="0.25">
      <c r="A108" t="s">
        <v>134</v>
      </c>
      <c r="B108" s="3">
        <v>4</v>
      </c>
      <c r="C108" s="3">
        <v>4</v>
      </c>
      <c r="D108" s="3">
        <v>4</v>
      </c>
      <c r="E108" s="3">
        <v>4</v>
      </c>
      <c r="F108" s="3">
        <v>4</v>
      </c>
      <c r="G108" s="3">
        <v>4</v>
      </c>
      <c r="H108" s="3">
        <v>4</v>
      </c>
      <c r="I108" s="1">
        <v>4</v>
      </c>
      <c r="J108" s="3">
        <v>4</v>
      </c>
      <c r="K108" s="3">
        <v>4</v>
      </c>
      <c r="L108" s="3">
        <v>4</v>
      </c>
      <c r="M108" s="3">
        <v>4</v>
      </c>
      <c r="N108" s="3">
        <v>4</v>
      </c>
      <c r="O108" s="3">
        <v>4</v>
      </c>
    </row>
    <row r="109" spans="1:15" x14ac:dyDescent="0.25">
      <c r="A109" t="s">
        <v>135</v>
      </c>
      <c r="B109" s="3" t="s">
        <v>2</v>
      </c>
      <c r="C109" s="3" t="s">
        <v>2</v>
      </c>
      <c r="D109" s="3" t="s">
        <v>2</v>
      </c>
      <c r="E109" s="3" t="s">
        <v>2</v>
      </c>
      <c r="F109" s="3" t="s">
        <v>2</v>
      </c>
      <c r="G109" s="3" t="s">
        <v>2</v>
      </c>
      <c r="H109" s="3" t="s">
        <v>21</v>
      </c>
      <c r="I109" s="1" t="s">
        <v>21</v>
      </c>
      <c r="J109" s="3" t="s">
        <v>21</v>
      </c>
      <c r="K109" s="3" t="s">
        <v>21</v>
      </c>
      <c r="L109" s="3" t="s">
        <v>21</v>
      </c>
      <c r="M109" s="3" t="s">
        <v>21</v>
      </c>
      <c r="N109" s="3" t="s">
        <v>21</v>
      </c>
      <c r="O109" s="3" t="s">
        <v>21</v>
      </c>
    </row>
    <row r="110" spans="1:15" x14ac:dyDescent="0.25">
      <c r="A110" t="s">
        <v>136</v>
      </c>
      <c r="B110" s="3" t="s">
        <v>0</v>
      </c>
      <c r="C110" s="6" t="s">
        <v>0</v>
      </c>
      <c r="D110" s="3" t="s">
        <v>0</v>
      </c>
      <c r="E110" s="3" t="s">
        <v>0</v>
      </c>
      <c r="F110" s="3" t="s">
        <v>6</v>
      </c>
      <c r="G110" s="3" t="s">
        <v>6</v>
      </c>
      <c r="H110" s="6" t="s">
        <v>0</v>
      </c>
      <c r="I110" s="1" t="s">
        <v>0</v>
      </c>
      <c r="J110" s="6" t="s">
        <v>0</v>
      </c>
      <c r="K110" s="6" t="s">
        <v>0</v>
      </c>
      <c r="L110" s="6" t="s">
        <v>0</v>
      </c>
      <c r="M110" s="6" t="s">
        <v>0</v>
      </c>
      <c r="N110" s="6" t="s">
        <v>0</v>
      </c>
      <c r="O110" s="6" t="s">
        <v>6</v>
      </c>
    </row>
    <row r="111" spans="1:15" x14ac:dyDescent="0.25">
      <c r="A111" t="s">
        <v>137</v>
      </c>
      <c r="B111" s="3">
        <v>55</v>
      </c>
      <c r="C111" s="3">
        <v>55</v>
      </c>
      <c r="D111" s="3">
        <v>55</v>
      </c>
      <c r="E111" s="3">
        <v>55</v>
      </c>
      <c r="F111" s="3">
        <v>55</v>
      </c>
      <c r="G111" s="3">
        <v>60</v>
      </c>
      <c r="H111" s="3">
        <v>20</v>
      </c>
      <c r="I111" s="1">
        <v>30</v>
      </c>
      <c r="J111" s="3">
        <v>40</v>
      </c>
      <c r="K111" s="3">
        <v>40</v>
      </c>
      <c r="L111" s="3">
        <v>50</v>
      </c>
      <c r="M111" s="3">
        <v>40</v>
      </c>
      <c r="N111" s="3">
        <v>50</v>
      </c>
      <c r="O111" s="3">
        <v>40</v>
      </c>
    </row>
    <row r="112" spans="1:15" x14ac:dyDescent="0.25">
      <c r="A112" t="s">
        <v>138</v>
      </c>
      <c r="B112" s="3">
        <v>4</v>
      </c>
      <c r="C112" s="3">
        <v>4</v>
      </c>
      <c r="D112" s="3">
        <v>3</v>
      </c>
      <c r="E112" s="3">
        <v>3</v>
      </c>
      <c r="F112" s="3">
        <v>3</v>
      </c>
      <c r="G112" s="3">
        <v>3</v>
      </c>
      <c r="H112" s="3">
        <v>15</v>
      </c>
      <c r="I112" s="1">
        <v>11</v>
      </c>
      <c r="J112" s="3">
        <v>9</v>
      </c>
      <c r="K112" s="3">
        <v>7</v>
      </c>
      <c r="L112" s="3">
        <v>7</v>
      </c>
      <c r="M112" s="3">
        <v>5</v>
      </c>
      <c r="N112" s="3">
        <v>5</v>
      </c>
      <c r="O112" s="3">
        <v>4</v>
      </c>
    </row>
    <row r="113" spans="1:15" x14ac:dyDescent="0.25">
      <c r="A113" t="s">
        <v>139</v>
      </c>
      <c r="B113" s="3" t="s">
        <v>16</v>
      </c>
      <c r="C113" s="6" t="s">
        <v>16</v>
      </c>
      <c r="D113" s="3" t="s">
        <v>16</v>
      </c>
      <c r="E113" s="3" t="s">
        <v>16</v>
      </c>
      <c r="F113" s="3" t="s">
        <v>16</v>
      </c>
      <c r="G113" s="3" t="s">
        <v>16</v>
      </c>
      <c r="H113" s="6" t="s">
        <v>23</v>
      </c>
      <c r="I113" s="1" t="s">
        <v>23</v>
      </c>
      <c r="J113" s="6" t="s">
        <v>23</v>
      </c>
      <c r="K113" s="6" t="s">
        <v>23</v>
      </c>
      <c r="L113" s="6" t="s">
        <v>23</v>
      </c>
      <c r="M113" s="6" t="s">
        <v>23</v>
      </c>
      <c r="N113" s="6" t="s">
        <v>23</v>
      </c>
      <c r="O113" s="6" t="s">
        <v>23</v>
      </c>
    </row>
    <row r="114" spans="1:15" x14ac:dyDescent="0.25">
      <c r="A114" t="s">
        <v>140</v>
      </c>
      <c r="B114" s="3">
        <v>180</v>
      </c>
      <c r="C114" s="3">
        <v>180</v>
      </c>
      <c r="D114" s="3">
        <v>180</v>
      </c>
      <c r="E114" s="3">
        <v>180</v>
      </c>
      <c r="F114" s="3">
        <v>180</v>
      </c>
      <c r="G114" s="3">
        <v>180</v>
      </c>
      <c r="H114" s="3">
        <v>180</v>
      </c>
      <c r="I114" s="1">
        <v>180</v>
      </c>
      <c r="J114" s="3">
        <v>180</v>
      </c>
      <c r="K114" s="3">
        <v>180</v>
      </c>
      <c r="L114" s="3">
        <v>180</v>
      </c>
      <c r="M114" s="3">
        <v>180</v>
      </c>
      <c r="N114" s="3">
        <v>180</v>
      </c>
      <c r="O114" s="3">
        <v>180</v>
      </c>
    </row>
    <row r="115" spans="1:15" x14ac:dyDescent="0.25">
      <c r="A115" t="s">
        <v>141</v>
      </c>
      <c r="B115" s="3">
        <v>1</v>
      </c>
      <c r="C115" s="3">
        <v>1</v>
      </c>
      <c r="D115" s="3">
        <v>1</v>
      </c>
      <c r="E115" s="3">
        <v>1</v>
      </c>
      <c r="F115" s="3">
        <v>1</v>
      </c>
      <c r="G115" s="3">
        <v>1</v>
      </c>
      <c r="H115" s="3">
        <v>1</v>
      </c>
      <c r="I115" s="1">
        <v>1</v>
      </c>
      <c r="J115" s="3">
        <v>1</v>
      </c>
      <c r="K115" s="3">
        <v>1</v>
      </c>
      <c r="L115" s="3">
        <v>1</v>
      </c>
      <c r="M115" s="3">
        <v>1</v>
      </c>
      <c r="N115" s="3">
        <v>1</v>
      </c>
      <c r="O115" s="3">
        <v>1</v>
      </c>
    </row>
    <row r="116" spans="1:15" x14ac:dyDescent="0.25">
      <c r="A116" t="s">
        <v>142</v>
      </c>
      <c r="B116" s="3">
        <v>10</v>
      </c>
      <c r="C116" s="3">
        <v>10</v>
      </c>
      <c r="D116" s="3">
        <v>10</v>
      </c>
      <c r="E116" s="3">
        <v>10</v>
      </c>
      <c r="F116" s="3">
        <v>10</v>
      </c>
      <c r="G116" s="3">
        <v>10</v>
      </c>
      <c r="H116" s="3">
        <v>10</v>
      </c>
      <c r="I116" s="1">
        <v>10</v>
      </c>
      <c r="J116" s="3">
        <v>10</v>
      </c>
      <c r="K116" s="3">
        <v>10</v>
      </c>
      <c r="L116" s="3">
        <v>10</v>
      </c>
      <c r="M116" s="3">
        <v>10</v>
      </c>
      <c r="N116" s="3">
        <v>10</v>
      </c>
      <c r="O116" s="3">
        <v>10</v>
      </c>
    </row>
    <row r="117" spans="1:15" x14ac:dyDescent="0.25">
      <c r="A117" t="s">
        <v>143</v>
      </c>
      <c r="B117" s="3">
        <v>0</v>
      </c>
      <c r="C117" s="3">
        <v>0</v>
      </c>
      <c r="D117" s="3">
        <v>0</v>
      </c>
      <c r="E117" s="3">
        <v>0</v>
      </c>
      <c r="F117" s="3">
        <v>0</v>
      </c>
      <c r="G117" s="3">
        <v>0</v>
      </c>
      <c r="H117" s="3">
        <v>0</v>
      </c>
      <c r="I117" s="1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</row>
    <row r="118" spans="1:15" x14ac:dyDescent="0.25">
      <c r="A118" t="s">
        <v>144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3">
        <v>0</v>
      </c>
      <c r="H118" s="3">
        <v>0</v>
      </c>
      <c r="I118" s="1">
        <v>0</v>
      </c>
      <c r="J118" s="3">
        <v>0</v>
      </c>
      <c r="K118" s="3">
        <v>0</v>
      </c>
      <c r="L118" s="3">
        <v>0</v>
      </c>
      <c r="M118" s="3">
        <v>0</v>
      </c>
      <c r="N118" s="3">
        <v>0</v>
      </c>
      <c r="O118" s="3">
        <v>0</v>
      </c>
    </row>
    <row r="119" spans="1:15" x14ac:dyDescent="0.25">
      <c r="A119" t="s">
        <v>145</v>
      </c>
      <c r="B119" s="3">
        <v>60</v>
      </c>
      <c r="C119" s="3">
        <v>60</v>
      </c>
      <c r="D119" s="3">
        <v>60</v>
      </c>
      <c r="E119" s="3">
        <v>60</v>
      </c>
      <c r="F119" s="3">
        <v>60</v>
      </c>
      <c r="G119" s="3">
        <v>60</v>
      </c>
      <c r="H119" s="3">
        <v>60</v>
      </c>
      <c r="I119" s="1">
        <v>60</v>
      </c>
      <c r="J119" s="3">
        <v>60</v>
      </c>
      <c r="K119" s="3">
        <v>60</v>
      </c>
      <c r="L119" s="3">
        <v>60</v>
      </c>
      <c r="M119" s="3">
        <v>60</v>
      </c>
      <c r="N119" s="3">
        <v>60</v>
      </c>
      <c r="O119" s="3">
        <v>60</v>
      </c>
    </row>
    <row r="120" spans="1:15" x14ac:dyDescent="0.25">
      <c r="A120" t="s">
        <v>146</v>
      </c>
      <c r="B120" s="3">
        <v>170</v>
      </c>
      <c r="C120" s="3">
        <v>170</v>
      </c>
      <c r="D120" s="3">
        <v>170</v>
      </c>
      <c r="E120" s="3">
        <v>170</v>
      </c>
      <c r="F120" s="3">
        <v>170</v>
      </c>
      <c r="G120" s="3">
        <v>170</v>
      </c>
      <c r="H120" s="3">
        <v>170</v>
      </c>
      <c r="I120" s="1">
        <v>170</v>
      </c>
      <c r="J120" s="3">
        <v>170</v>
      </c>
      <c r="K120" s="3">
        <v>170</v>
      </c>
      <c r="L120" s="3">
        <v>170</v>
      </c>
      <c r="M120" s="3">
        <v>170</v>
      </c>
      <c r="N120" s="3">
        <v>170</v>
      </c>
      <c r="O120" s="3">
        <v>170</v>
      </c>
    </row>
    <row r="121" spans="1:15" x14ac:dyDescent="0.25">
      <c r="A121" t="s">
        <v>147</v>
      </c>
      <c r="B121" s="3">
        <v>125</v>
      </c>
      <c r="C121" s="3">
        <v>125</v>
      </c>
      <c r="D121" s="3">
        <v>125</v>
      </c>
      <c r="E121" s="3">
        <v>125</v>
      </c>
      <c r="F121" s="3">
        <v>125</v>
      </c>
      <c r="G121" s="3">
        <v>125</v>
      </c>
      <c r="H121" s="3">
        <v>125</v>
      </c>
      <c r="I121" s="1">
        <v>125</v>
      </c>
      <c r="J121" s="3">
        <v>125</v>
      </c>
      <c r="K121" s="3">
        <v>125</v>
      </c>
      <c r="L121" s="3">
        <v>125</v>
      </c>
      <c r="M121" s="3">
        <v>125</v>
      </c>
      <c r="N121" s="3">
        <v>125</v>
      </c>
      <c r="O121" s="3">
        <v>125</v>
      </c>
    </row>
    <row r="122" spans="1:15" x14ac:dyDescent="0.25">
      <c r="A122" t="s">
        <v>148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3">
        <v>0</v>
      </c>
      <c r="H122" s="3">
        <v>0</v>
      </c>
      <c r="I122" s="1">
        <v>0</v>
      </c>
      <c r="J122" s="3">
        <v>0</v>
      </c>
      <c r="K122" s="3">
        <v>0</v>
      </c>
      <c r="L122" s="3">
        <v>0</v>
      </c>
      <c r="M122" s="3">
        <v>0</v>
      </c>
      <c r="N122" s="3">
        <v>0</v>
      </c>
      <c r="O122" s="3">
        <v>0</v>
      </c>
    </row>
    <row r="124" spans="1:15" x14ac:dyDescent="0.25">
      <c r="A124" s="10" t="s">
        <v>271</v>
      </c>
    </row>
    <row r="125" spans="1:15" x14ac:dyDescent="0.25">
      <c r="A125" t="s">
        <v>260</v>
      </c>
      <c r="B125" s="3">
        <v>3.92</v>
      </c>
      <c r="C125" s="3">
        <v>4.09</v>
      </c>
      <c r="D125" s="3">
        <v>3.91</v>
      </c>
      <c r="E125" s="3">
        <v>4.1399999999999997</v>
      </c>
      <c r="F125" s="3">
        <v>4.28</v>
      </c>
      <c r="G125" s="3">
        <v>4.22</v>
      </c>
      <c r="H125" s="3">
        <v>5.03</v>
      </c>
      <c r="I125" s="1">
        <v>5.03</v>
      </c>
      <c r="J125" s="3">
        <v>4.4400000000000004</v>
      </c>
      <c r="K125" s="3">
        <v>4.45</v>
      </c>
      <c r="L125" s="3">
        <v>4.79</v>
      </c>
      <c r="M125" s="3">
        <v>4.3600000000000003</v>
      </c>
      <c r="N125" s="3">
        <v>4.76</v>
      </c>
      <c r="O125" s="3">
        <v>5</v>
      </c>
    </row>
    <row r="126" spans="1:15" x14ac:dyDescent="0.25">
      <c r="A126" t="s">
        <v>259</v>
      </c>
      <c r="B126" s="3" t="s">
        <v>261</v>
      </c>
      <c r="C126" s="3" t="s">
        <v>336</v>
      </c>
      <c r="D126" s="3" t="s">
        <v>336</v>
      </c>
      <c r="E126" s="3" t="s">
        <v>262</v>
      </c>
      <c r="F126" s="3" t="s">
        <v>264</v>
      </c>
      <c r="G126" s="3" t="s">
        <v>263</v>
      </c>
      <c r="H126" s="3" t="s">
        <v>265</v>
      </c>
      <c r="I126" s="1" t="s">
        <v>266</v>
      </c>
      <c r="J126" s="1" t="s">
        <v>287</v>
      </c>
      <c r="K126" s="1" t="s">
        <v>267</v>
      </c>
      <c r="L126" s="3" t="s">
        <v>268</v>
      </c>
      <c r="M126" s="3" t="s">
        <v>269</v>
      </c>
      <c r="N126" s="3" t="s">
        <v>261</v>
      </c>
      <c r="O126" s="3" t="s">
        <v>270</v>
      </c>
    </row>
    <row r="127" spans="1:15" x14ac:dyDescent="0.25">
      <c r="A127" t="s">
        <v>291</v>
      </c>
      <c r="B127" s="9">
        <f t="shared" ref="B127:O127" si="0">(IF((IFERROR(SEARCH("h",B126,1),0))=0,0,(LEFT(B126,SEARCH("h",B126,1)-1))))++(RIGHT(LEFT(B126,SEARCH("m",B126,1)-1),2))/60</f>
        <v>0.55000000000000004</v>
      </c>
      <c r="C127" s="9">
        <f t="shared" ref="C127" si="1">(IF((IFERROR(SEARCH("h",C126,1),0))=0,0,(LEFT(C126,SEARCH("h",C126,1)-1))))++(RIGHT(LEFT(C126,SEARCH("m",C126,1)-1),2))/60</f>
        <v>0.45</v>
      </c>
      <c r="D127" s="9">
        <f t="shared" si="0"/>
        <v>0.45</v>
      </c>
      <c r="E127" s="9">
        <f t="shared" si="0"/>
        <v>0.41666666666666669</v>
      </c>
      <c r="F127" s="9">
        <f t="shared" si="0"/>
        <v>0.31666666666666665</v>
      </c>
      <c r="G127" s="9">
        <f t="shared" si="0"/>
        <v>0.33333333333333331</v>
      </c>
      <c r="H127" s="9">
        <f t="shared" si="0"/>
        <v>2.3166666666666664</v>
      </c>
      <c r="I127" s="9">
        <f t="shared" si="0"/>
        <v>1.65</v>
      </c>
      <c r="J127" s="9">
        <f t="shared" si="0"/>
        <v>1.0333333333333334</v>
      </c>
      <c r="K127" s="9">
        <f t="shared" si="0"/>
        <v>0.7</v>
      </c>
      <c r="L127" s="9">
        <f t="shared" si="0"/>
        <v>0.71666666666666667</v>
      </c>
      <c r="M127" s="9">
        <f t="shared" si="0"/>
        <v>0.53333333333333333</v>
      </c>
      <c r="N127" s="9">
        <f t="shared" si="0"/>
        <v>0.55000000000000004</v>
      </c>
      <c r="O127" s="9">
        <f t="shared" si="0"/>
        <v>0.36666666666666664</v>
      </c>
    </row>
    <row r="128" spans="1:15" x14ac:dyDescent="0.25">
      <c r="C128" s="3"/>
      <c r="I128" s="3"/>
      <c r="J128" s="3"/>
      <c r="K128" s="3"/>
      <c r="L128" s="3"/>
      <c r="M128" s="3"/>
      <c r="N128" s="3"/>
      <c r="O128" s="3"/>
    </row>
    <row r="129" spans="1:15" x14ac:dyDescent="0.25">
      <c r="A129" s="10" t="s">
        <v>272</v>
      </c>
      <c r="C129" s="3"/>
      <c r="I129" s="3"/>
      <c r="J129" s="3"/>
      <c r="K129" s="3"/>
      <c r="L129" s="3"/>
      <c r="M129" s="3"/>
      <c r="N129" s="3"/>
      <c r="O129" s="3"/>
    </row>
    <row r="130" spans="1:15" x14ac:dyDescent="0.25">
      <c r="A130" t="s">
        <v>260</v>
      </c>
      <c r="B130" s="3">
        <v>11.48</v>
      </c>
      <c r="C130" s="1">
        <v>11.82</v>
      </c>
      <c r="D130" s="3">
        <v>11.26</v>
      </c>
      <c r="E130" s="3">
        <v>11.92</v>
      </c>
      <c r="F130" s="3">
        <v>12.47</v>
      </c>
      <c r="G130" s="3">
        <v>12.14</v>
      </c>
      <c r="H130" s="3">
        <v>13.05</v>
      </c>
      <c r="I130" s="1">
        <v>13.04</v>
      </c>
      <c r="J130" s="1">
        <v>12.6</v>
      </c>
      <c r="K130" s="1">
        <v>12.8</v>
      </c>
      <c r="L130" s="1">
        <v>13.22</v>
      </c>
      <c r="M130" s="1">
        <v>12.53</v>
      </c>
      <c r="N130" s="1">
        <v>12.99</v>
      </c>
      <c r="O130" s="1">
        <v>13.47</v>
      </c>
    </row>
    <row r="131" spans="1:15" x14ac:dyDescent="0.25">
      <c r="A131" t="s">
        <v>259</v>
      </c>
      <c r="B131" s="3" t="s">
        <v>273</v>
      </c>
      <c r="C131" s="1" t="s">
        <v>339</v>
      </c>
      <c r="D131" s="3" t="s">
        <v>334</v>
      </c>
      <c r="E131" s="3" t="s">
        <v>288</v>
      </c>
      <c r="F131" s="3" t="s">
        <v>274</v>
      </c>
      <c r="G131" s="3" t="s">
        <v>275</v>
      </c>
      <c r="H131" s="3" t="s">
        <v>281</v>
      </c>
      <c r="I131" s="1" t="s">
        <v>282</v>
      </c>
      <c r="J131" s="1" t="s">
        <v>276</v>
      </c>
      <c r="K131" s="1" t="s">
        <v>289</v>
      </c>
      <c r="L131" s="1" t="s">
        <v>277</v>
      </c>
      <c r="M131" s="1" t="s">
        <v>278</v>
      </c>
      <c r="N131" s="1" t="s">
        <v>279</v>
      </c>
      <c r="O131" s="1" t="s">
        <v>280</v>
      </c>
    </row>
    <row r="132" spans="1:15" x14ac:dyDescent="0.25">
      <c r="A132" t="s">
        <v>291</v>
      </c>
      <c r="B132" s="9">
        <f t="shared" ref="B132:O132" si="2">(IF((IFERROR(SEARCH("h",B131,1),0))=0,0,(LEFT(B131,SEARCH("h",B131,1)-1))))++(RIGHT(LEFT(B131,SEARCH("m",B131,1)-1),2))/60</f>
        <v>1.6</v>
      </c>
      <c r="C132" s="9">
        <f t="shared" ref="C132" si="3">(IF((IFERROR(SEARCH("h",C131,1),0))=0,0,(LEFT(C131,SEARCH("h",C131,1)-1))))++(RIGHT(LEFT(C131,SEARCH("m",C131,1)-1),2))/60</f>
        <v>1.2833333333333332</v>
      </c>
      <c r="D132" s="9">
        <f t="shared" si="2"/>
        <v>1.2666666666666666</v>
      </c>
      <c r="E132" s="9">
        <f t="shared" si="2"/>
        <v>1.1166666666666667</v>
      </c>
      <c r="F132" s="9">
        <f t="shared" si="2"/>
        <v>0.9</v>
      </c>
      <c r="G132" s="9">
        <f t="shared" si="2"/>
        <v>0.78333333333333333</v>
      </c>
      <c r="H132" s="9">
        <f t="shared" si="2"/>
        <v>7.4</v>
      </c>
      <c r="I132" s="9">
        <f t="shared" si="2"/>
        <v>5.2</v>
      </c>
      <c r="J132" s="9">
        <f t="shared" si="2"/>
        <v>2.9666666666666668</v>
      </c>
      <c r="K132" s="9">
        <f t="shared" si="2"/>
        <v>2.0499999999999998</v>
      </c>
      <c r="L132" s="9">
        <f t="shared" si="2"/>
        <v>1.9333333333333333</v>
      </c>
      <c r="M132" s="9">
        <f t="shared" si="2"/>
        <v>1.55</v>
      </c>
      <c r="N132" s="9">
        <f t="shared" si="2"/>
        <v>1.4666666666666668</v>
      </c>
      <c r="O132" s="9">
        <f t="shared" si="2"/>
        <v>0.93333333333333335</v>
      </c>
    </row>
    <row r="133" spans="1:15" x14ac:dyDescent="0.25">
      <c r="C133" s="3"/>
      <c r="I133" s="3"/>
      <c r="J133" s="3"/>
      <c r="K133" s="3"/>
      <c r="L133" s="3"/>
      <c r="M133" s="3"/>
      <c r="N133" s="3"/>
      <c r="O133" s="3"/>
    </row>
    <row r="134" spans="1:15" x14ac:dyDescent="0.25">
      <c r="A134" t="s">
        <v>335</v>
      </c>
    </row>
    <row r="135" spans="1:15" x14ac:dyDescent="0.25">
      <c r="A135" t="s">
        <v>260</v>
      </c>
      <c r="B135" s="3">
        <v>15.38</v>
      </c>
      <c r="C135" s="1">
        <v>15.88</v>
      </c>
      <c r="D135" s="3">
        <v>15.16</v>
      </c>
      <c r="E135" s="3">
        <v>16.04</v>
      </c>
      <c r="F135" s="3">
        <v>16.670000000000002</v>
      </c>
      <c r="G135" s="3">
        <v>16.399999999999999</v>
      </c>
      <c r="H135" s="3">
        <v>18.04</v>
      </c>
      <c r="I135" s="1">
        <v>18.03</v>
      </c>
      <c r="J135" s="1">
        <v>16.989999999999998</v>
      </c>
      <c r="K135" s="1">
        <v>17.190000000000001</v>
      </c>
      <c r="L135" s="1">
        <v>17.96</v>
      </c>
      <c r="M135" s="1">
        <v>16.829999999999998</v>
      </c>
      <c r="N135" s="1">
        <v>17.68</v>
      </c>
      <c r="O135" s="1">
        <v>18.38</v>
      </c>
    </row>
    <row r="136" spans="1:15" x14ac:dyDescent="0.25">
      <c r="A136" t="s">
        <v>259</v>
      </c>
      <c r="B136" s="3" t="s">
        <v>293</v>
      </c>
      <c r="C136" s="1" t="s">
        <v>338</v>
      </c>
      <c r="D136" s="3" t="s">
        <v>279</v>
      </c>
      <c r="E136" s="3" t="s">
        <v>295</v>
      </c>
      <c r="F136" s="3" t="s">
        <v>296</v>
      </c>
      <c r="G136" s="3" t="s">
        <v>280</v>
      </c>
      <c r="H136" s="3" t="s">
        <v>283</v>
      </c>
      <c r="I136" s="1" t="s">
        <v>284</v>
      </c>
      <c r="J136" t="s">
        <v>285</v>
      </c>
      <c r="K136" s="1" t="s">
        <v>286</v>
      </c>
      <c r="L136" s="1" t="s">
        <v>290</v>
      </c>
      <c r="M136" s="1" t="s">
        <v>292</v>
      </c>
      <c r="N136" s="1" t="s">
        <v>293</v>
      </c>
      <c r="O136" s="1" t="s">
        <v>294</v>
      </c>
    </row>
    <row r="137" spans="1:15" x14ac:dyDescent="0.25">
      <c r="A137" t="s">
        <v>291</v>
      </c>
      <c r="B137" s="9">
        <f t="shared" ref="B137:O137" si="4">(IF((IFERROR(SEARCH("h",B136,1),0))=0,0,(LEFT(B136,SEARCH("h",B136,1)-1))))++(RIGHT(LEFT(B136,SEARCH("m",B136,1)-1),2))/60</f>
        <v>1.85</v>
      </c>
      <c r="C137" s="9">
        <f t="shared" ref="C137" si="5">(IF((IFERROR(SEARCH("h",C136,1),0))=0,0,(LEFT(C136,SEARCH("h",C136,1)-1))))++(RIGHT(LEFT(C136,SEARCH("m",C136,1)-1),2))/60</f>
        <v>1.5333333333333332</v>
      </c>
      <c r="D137" s="9">
        <f t="shared" si="4"/>
        <v>1.4666666666666668</v>
      </c>
      <c r="E137" s="9">
        <f t="shared" si="4"/>
        <v>1.35</v>
      </c>
      <c r="F137" s="9">
        <f t="shared" si="4"/>
        <v>1.1000000000000001</v>
      </c>
      <c r="G137" s="9">
        <f t="shared" si="4"/>
        <v>0.93333333333333335</v>
      </c>
      <c r="H137" s="9">
        <f t="shared" si="4"/>
        <v>9.7166666666666668</v>
      </c>
      <c r="I137" s="9">
        <f t="shared" si="4"/>
        <v>6.8</v>
      </c>
      <c r="J137" s="9">
        <f t="shared" si="4"/>
        <v>3.7833333333333332</v>
      </c>
      <c r="K137" s="9">
        <f t="shared" si="4"/>
        <v>2.6166666666666667</v>
      </c>
      <c r="L137" s="9">
        <f t="shared" si="4"/>
        <v>2.4500000000000002</v>
      </c>
      <c r="M137" s="9">
        <f t="shared" si="4"/>
        <v>2</v>
      </c>
      <c r="N137" s="9">
        <f t="shared" si="4"/>
        <v>1.85</v>
      </c>
      <c r="O137" s="9">
        <f t="shared" si="4"/>
        <v>1.2</v>
      </c>
    </row>
  </sheetData>
  <phoneticPr fontId="3" type="noConversion"/>
  <hyperlinks>
    <hyperlink ref="A129" r:id="rId1" xr:uid="{8F81406F-613B-406B-9CD1-2FF7184E0D7F}"/>
    <hyperlink ref="A124" r:id="rId2" xr:uid="{0F7D0A09-5722-4BDF-AE76-6317152C0B13}"/>
  </hyperlinks>
  <pageMargins left="0.7" right="0.7" top="0.78740157499999996" bottom="0.78740157499999996" header="0.3" footer="0.3"/>
  <pageSetup paperSize="9" orientation="portrait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6" name="Button 1">
              <controlPr defaultSize="0" print="0" autoFill="0" autoPict="0" macro="[0]!ExportSettings">
                <anchor moveWithCells="1">
                  <from>
                    <xdr:col>0</xdr:col>
                    <xdr:colOff>180975</xdr:colOff>
                    <xdr:row>0</xdr:row>
                    <xdr:rowOff>114300</xdr:rowOff>
                  </from>
                  <to>
                    <xdr:col>0</xdr:col>
                    <xdr:colOff>2514600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7" name="Button 2">
              <controlPr defaultSize="0" print="0" autoFill="0" autoPict="0" macro="[0]!ExportSettingsNonPrusa">
                <anchor moveWithCells="1">
                  <from>
                    <xdr:col>0</xdr:col>
                    <xdr:colOff>180975</xdr:colOff>
                    <xdr:row>0</xdr:row>
                    <xdr:rowOff>600075</xdr:rowOff>
                  </from>
                  <to>
                    <xdr:col>0</xdr:col>
                    <xdr:colOff>2514600</xdr:colOff>
                    <xdr:row>0</xdr:row>
                    <xdr:rowOff>1000125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E9386-933F-411E-8FA7-522F042994AB}">
  <sheetPr codeName="Tabelle3"/>
  <dimension ref="A1:E122"/>
  <sheetViews>
    <sheetView topLeftCell="A61" workbookViewId="0">
      <selection activeCell="E1" sqref="E1:E122"/>
    </sheetView>
  </sheetViews>
  <sheetFormatPr baseColWidth="10" defaultRowHeight="15" x14ac:dyDescent="0.25"/>
  <cols>
    <col min="1" max="1" width="40.85546875" customWidth="1"/>
    <col min="5" max="5" width="35.140625" customWidth="1"/>
  </cols>
  <sheetData>
    <row r="1" spans="1:5" x14ac:dyDescent="0.25">
      <c r="A1" t="s">
        <v>301</v>
      </c>
      <c r="E1" s="1" t="s">
        <v>301</v>
      </c>
    </row>
    <row r="2" spans="1:5" x14ac:dyDescent="0.25">
      <c r="A2" t="s">
        <v>159</v>
      </c>
      <c r="E2" s="3">
        <v>0</v>
      </c>
    </row>
    <row r="3" spans="1:5" x14ac:dyDescent="0.25">
      <c r="A3" t="s">
        <v>160</v>
      </c>
      <c r="E3" s="3">
        <v>0</v>
      </c>
    </row>
    <row r="4" spans="1:5" x14ac:dyDescent="0.25">
      <c r="A4" t="s">
        <v>161</v>
      </c>
      <c r="E4" s="3" t="s">
        <v>21</v>
      </c>
    </row>
    <row r="5" spans="1:5" x14ac:dyDescent="0.25">
      <c r="A5" t="s">
        <v>302</v>
      </c>
      <c r="E5" s="3">
        <v>10</v>
      </c>
    </row>
    <row r="6" spans="1:5" x14ac:dyDescent="0.25">
      <c r="A6" t="s">
        <v>162</v>
      </c>
      <c r="E6" s="6" t="s">
        <v>3</v>
      </c>
    </row>
    <row r="7" spans="1:5" x14ac:dyDescent="0.25">
      <c r="A7" t="s">
        <v>303</v>
      </c>
      <c r="E7" s="3">
        <v>300</v>
      </c>
    </row>
    <row r="8" spans="1:5" x14ac:dyDescent="0.25">
      <c r="A8" t="s">
        <v>163</v>
      </c>
      <c r="E8" s="3">
        <v>0</v>
      </c>
    </row>
    <row r="9" spans="1:5" x14ac:dyDescent="0.25">
      <c r="A9" t="s">
        <v>304</v>
      </c>
      <c r="E9" s="6" t="s">
        <v>23</v>
      </c>
    </row>
    <row r="10" spans="1:5" x14ac:dyDescent="0.25">
      <c r="A10" t="s">
        <v>305</v>
      </c>
      <c r="E10" s="3">
        <v>20</v>
      </c>
    </row>
    <row r="11" spans="1:5" x14ac:dyDescent="0.25">
      <c r="A11" t="s">
        <v>164</v>
      </c>
      <c r="E11" s="3">
        <v>0</v>
      </c>
    </row>
    <row r="12" spans="1:5" x14ac:dyDescent="0.25">
      <c r="A12" t="s">
        <v>165</v>
      </c>
      <c r="E12" s="3">
        <v>1</v>
      </c>
    </row>
    <row r="13" spans="1:5" x14ac:dyDescent="0.25">
      <c r="A13" t="s">
        <v>166</v>
      </c>
      <c r="E13" s="3"/>
    </row>
    <row r="14" spans="1:5" x14ac:dyDescent="0.25">
      <c r="A14" t="s">
        <v>306</v>
      </c>
      <c r="E14" s="6" t="s">
        <v>150</v>
      </c>
    </row>
    <row r="15" spans="1:5" x14ac:dyDescent="0.25">
      <c r="A15" t="s">
        <v>167</v>
      </c>
      <c r="E15" s="3">
        <v>0</v>
      </c>
    </row>
    <row r="16" spans="1:5" x14ac:dyDescent="0.25">
      <c r="A16" t="s">
        <v>168</v>
      </c>
      <c r="E16" s="3">
        <v>1000</v>
      </c>
    </row>
    <row r="17" spans="1:5" x14ac:dyDescent="0.25">
      <c r="A17" t="s">
        <v>169</v>
      </c>
      <c r="E17" s="3">
        <v>1</v>
      </c>
    </row>
    <row r="18" spans="1:5" x14ac:dyDescent="0.25">
      <c r="A18" t="s">
        <v>170</v>
      </c>
      <c r="E18" s="3">
        <v>0</v>
      </c>
    </row>
    <row r="19" spans="1:5" x14ac:dyDescent="0.25">
      <c r="A19" t="s">
        <v>171</v>
      </c>
      <c r="E19" s="6" t="s">
        <v>5</v>
      </c>
    </row>
    <row r="20" spans="1:5" x14ac:dyDescent="0.25">
      <c r="A20" t="s">
        <v>172</v>
      </c>
      <c r="E20" s="3">
        <v>1</v>
      </c>
    </row>
    <row r="21" spans="1:5" x14ac:dyDescent="0.25">
      <c r="A21" t="s">
        <v>307</v>
      </c>
      <c r="E21" s="6" t="s">
        <v>6</v>
      </c>
    </row>
    <row r="22" spans="1:5" x14ac:dyDescent="0.25">
      <c r="A22" t="s">
        <v>308</v>
      </c>
      <c r="E22" s="3">
        <v>20</v>
      </c>
    </row>
    <row r="23" spans="1:5" x14ac:dyDescent="0.25">
      <c r="A23" t="s">
        <v>173</v>
      </c>
      <c r="E23" s="3">
        <v>0</v>
      </c>
    </row>
    <row r="24" spans="1:5" x14ac:dyDescent="0.25">
      <c r="A24" t="s">
        <v>174</v>
      </c>
      <c r="E24" s="3">
        <v>0</v>
      </c>
    </row>
    <row r="25" spans="1:5" x14ac:dyDescent="0.25">
      <c r="A25" t="s">
        <v>175</v>
      </c>
      <c r="E25" s="3">
        <v>20</v>
      </c>
    </row>
    <row r="26" spans="1:5" x14ac:dyDescent="0.25">
      <c r="A26" t="s">
        <v>176</v>
      </c>
      <c r="E26" s="3">
        <v>45</v>
      </c>
    </row>
    <row r="27" spans="1:5" x14ac:dyDescent="0.25">
      <c r="A27" t="s">
        <v>309</v>
      </c>
      <c r="E27" s="6" t="s">
        <v>6</v>
      </c>
    </row>
    <row r="28" spans="1:5" x14ac:dyDescent="0.25">
      <c r="A28" t="s">
        <v>177</v>
      </c>
      <c r="E28" s="3">
        <v>45</v>
      </c>
    </row>
    <row r="29" spans="1:5" x14ac:dyDescent="0.25">
      <c r="A29" t="s">
        <v>310</v>
      </c>
      <c r="E29" s="5">
        <v>0.15</v>
      </c>
    </row>
    <row r="30" spans="1:5" x14ac:dyDescent="0.25">
      <c r="A30" t="s">
        <v>311</v>
      </c>
      <c r="E30" s="3" t="s">
        <v>22</v>
      </c>
    </row>
    <row r="31" spans="1:5" x14ac:dyDescent="0.25">
      <c r="A31" t="s">
        <v>312</v>
      </c>
      <c r="E31" s="3">
        <v>500</v>
      </c>
    </row>
    <row r="32" spans="1:5" x14ac:dyDescent="0.25">
      <c r="A32" t="s">
        <v>178</v>
      </c>
      <c r="E32" s="6" t="s">
        <v>8</v>
      </c>
    </row>
    <row r="33" spans="1:5" x14ac:dyDescent="0.25">
      <c r="A33" t="s">
        <v>179</v>
      </c>
      <c r="E33" s="6" t="s">
        <v>5</v>
      </c>
    </row>
    <row r="34" spans="1:5" x14ac:dyDescent="0.25">
      <c r="A34" t="s">
        <v>180</v>
      </c>
      <c r="E34" s="3">
        <v>20</v>
      </c>
    </row>
    <row r="35" spans="1:5" x14ac:dyDescent="0.25">
      <c r="A35" t="s">
        <v>313</v>
      </c>
      <c r="E35" s="3">
        <v>20</v>
      </c>
    </row>
    <row r="36" spans="1:5" x14ac:dyDescent="0.25">
      <c r="A36" t="s">
        <v>181</v>
      </c>
      <c r="E36" s="3">
        <v>0</v>
      </c>
    </row>
    <row r="37" spans="1:5" x14ac:dyDescent="0.25">
      <c r="A37" t="s">
        <v>182</v>
      </c>
      <c r="E37" s="3">
        <v>1</v>
      </c>
    </row>
    <row r="38" spans="1:5" x14ac:dyDescent="0.25">
      <c r="A38" t="s">
        <v>314</v>
      </c>
      <c r="E38" s="3">
        <v>800</v>
      </c>
    </row>
    <row r="39" spans="1:5" x14ac:dyDescent="0.25">
      <c r="A39" t="s">
        <v>183</v>
      </c>
      <c r="E39" s="6" t="s">
        <v>154</v>
      </c>
    </row>
    <row r="40" spans="1:5" x14ac:dyDescent="0.25">
      <c r="A40" t="s">
        <v>184</v>
      </c>
      <c r="E40" s="3">
        <v>12</v>
      </c>
    </row>
    <row r="41" spans="1:5" x14ac:dyDescent="0.25">
      <c r="A41" t="s">
        <v>185</v>
      </c>
      <c r="E41" s="3">
        <v>1</v>
      </c>
    </row>
    <row r="42" spans="1:5" x14ac:dyDescent="0.25">
      <c r="A42" t="s">
        <v>186</v>
      </c>
      <c r="E42" s="3">
        <v>1</v>
      </c>
    </row>
    <row r="43" spans="1:5" x14ac:dyDescent="0.25">
      <c r="A43" t="s">
        <v>315</v>
      </c>
      <c r="E43" s="6" t="s">
        <v>6</v>
      </c>
    </row>
    <row r="44" spans="1:5" x14ac:dyDescent="0.25">
      <c r="A44" t="s">
        <v>187</v>
      </c>
      <c r="E44" s="3">
        <v>0</v>
      </c>
    </row>
    <row r="45" spans="1:5" x14ac:dyDescent="0.25">
      <c r="A45" t="s">
        <v>188</v>
      </c>
      <c r="E45" s="3">
        <v>0</v>
      </c>
    </row>
    <row r="46" spans="1:5" x14ac:dyDescent="0.25">
      <c r="A46" t="s">
        <v>189</v>
      </c>
      <c r="E46" s="5">
        <v>0.25</v>
      </c>
    </row>
    <row r="47" spans="1:5" x14ac:dyDescent="0.25">
      <c r="A47" t="s">
        <v>316</v>
      </c>
      <c r="E47" s="3">
        <v>30</v>
      </c>
    </row>
    <row r="48" spans="1:5" x14ac:dyDescent="0.25">
      <c r="A48" t="s">
        <v>317</v>
      </c>
      <c r="E48" s="6" t="s">
        <v>155</v>
      </c>
    </row>
    <row r="49" spans="1:5" x14ac:dyDescent="0.25">
      <c r="A49" t="s">
        <v>190</v>
      </c>
      <c r="E49" s="3">
        <v>0</v>
      </c>
    </row>
    <row r="50" spans="1:5" x14ac:dyDescent="0.25">
      <c r="A50" t="s">
        <v>191</v>
      </c>
      <c r="E50" s="3">
        <v>0</v>
      </c>
    </row>
    <row r="51" spans="1:5" x14ac:dyDescent="0.25">
      <c r="A51" t="s">
        <v>192</v>
      </c>
      <c r="E51" s="5">
        <v>0.15</v>
      </c>
    </row>
    <row r="52" spans="1:5" x14ac:dyDescent="0.25">
      <c r="A52" t="s">
        <v>193</v>
      </c>
      <c r="E52" s="6" t="s">
        <v>9</v>
      </c>
    </row>
    <row r="53" spans="1:5" x14ac:dyDescent="0.25">
      <c r="A53" t="s">
        <v>194</v>
      </c>
      <c r="E53" s="3">
        <v>15</v>
      </c>
    </row>
    <row r="54" spans="1:5" x14ac:dyDescent="0.25">
      <c r="A54" t="s">
        <v>195</v>
      </c>
      <c r="E54" s="3" t="s">
        <v>10</v>
      </c>
    </row>
    <row r="55" spans="1:5" x14ac:dyDescent="0.25">
      <c r="A55" t="s">
        <v>318</v>
      </c>
      <c r="E55" s="6" t="s">
        <v>151</v>
      </c>
    </row>
    <row r="56" spans="1:5" x14ac:dyDescent="0.25">
      <c r="A56" t="s">
        <v>319</v>
      </c>
      <c r="E56" s="3">
        <v>80</v>
      </c>
    </row>
    <row r="57" spans="1:5" x14ac:dyDescent="0.25">
      <c r="A57" t="s">
        <v>196</v>
      </c>
      <c r="E57" s="3">
        <v>0</v>
      </c>
    </row>
    <row r="58" spans="1:5" x14ac:dyDescent="0.25">
      <c r="A58" t="s">
        <v>197</v>
      </c>
      <c r="E58" s="3">
        <v>4</v>
      </c>
    </row>
    <row r="59" spans="1:5" x14ac:dyDescent="0.25">
      <c r="A59" t="s">
        <v>198</v>
      </c>
      <c r="E59" s="3"/>
    </row>
    <row r="60" spans="1:5" x14ac:dyDescent="0.25">
      <c r="A60" t="s">
        <v>199</v>
      </c>
      <c r="E60" s="3">
        <v>0</v>
      </c>
    </row>
    <row r="61" spans="1:5" x14ac:dyDescent="0.25">
      <c r="A61" t="s">
        <v>200</v>
      </c>
      <c r="E61" s="3">
        <v>0</v>
      </c>
    </row>
    <row r="62" spans="1:5" x14ac:dyDescent="0.25">
      <c r="A62" t="s">
        <v>201</v>
      </c>
      <c r="E62" s="6" t="s">
        <v>12</v>
      </c>
    </row>
    <row r="63" spans="1:5" x14ac:dyDescent="0.25">
      <c r="A63" t="s">
        <v>202</v>
      </c>
      <c r="E63" s="3">
        <v>0</v>
      </c>
    </row>
    <row r="64" spans="1:5" x14ac:dyDescent="0.25">
      <c r="A64" t="s">
        <v>320</v>
      </c>
      <c r="E64" s="3">
        <v>300</v>
      </c>
    </row>
    <row r="65" spans="1:5" x14ac:dyDescent="0.25">
      <c r="A65" t="s">
        <v>203</v>
      </c>
      <c r="E65" s="3">
        <v>1</v>
      </c>
    </row>
    <row r="66" spans="1:5" x14ac:dyDescent="0.25">
      <c r="A66" t="s">
        <v>321</v>
      </c>
      <c r="E66" s="6" t="s">
        <v>6</v>
      </c>
    </row>
    <row r="67" spans="1:5" x14ac:dyDescent="0.25">
      <c r="A67" t="s">
        <v>322</v>
      </c>
      <c r="E67" s="3">
        <v>30</v>
      </c>
    </row>
    <row r="68" spans="1:5" x14ac:dyDescent="0.25">
      <c r="A68" t="s">
        <v>323</v>
      </c>
      <c r="E68" s="3">
        <v>3</v>
      </c>
    </row>
    <row r="69" spans="1:5" x14ac:dyDescent="0.25">
      <c r="A69" t="s">
        <v>204</v>
      </c>
      <c r="E69" s="3"/>
    </row>
    <row r="70" spans="1:5" x14ac:dyDescent="0.25">
      <c r="A70" t="s">
        <v>205</v>
      </c>
      <c r="E70" s="3"/>
    </row>
    <row r="71" spans="1:5" x14ac:dyDescent="0.25">
      <c r="A71" t="s">
        <v>206</v>
      </c>
      <c r="E71" s="3">
        <v>0</v>
      </c>
    </row>
    <row r="72" spans="1:5" x14ac:dyDescent="0.25">
      <c r="A72" t="s">
        <v>207</v>
      </c>
      <c r="E72" s="3">
        <v>0</v>
      </c>
    </row>
    <row r="73" spans="1:5" x14ac:dyDescent="0.25">
      <c r="A73" t="s">
        <v>208</v>
      </c>
      <c r="E73" s="3" t="s">
        <v>13</v>
      </c>
    </row>
    <row r="74" spans="1:5" x14ac:dyDescent="0.25">
      <c r="A74" t="s">
        <v>209</v>
      </c>
      <c r="E74" s="3">
        <v>0</v>
      </c>
    </row>
    <row r="75" spans="1:5" x14ac:dyDescent="0.25">
      <c r="A75" t="s">
        <v>210</v>
      </c>
      <c r="E75" s="3">
        <v>2</v>
      </c>
    </row>
    <row r="76" spans="1:5" x14ac:dyDescent="0.25">
      <c r="A76" t="s">
        <v>211</v>
      </c>
      <c r="E76" s="3">
        <v>3</v>
      </c>
    </row>
    <row r="77" spans="1:5" x14ac:dyDescent="0.25">
      <c r="A77" t="s">
        <v>212</v>
      </c>
      <c r="E77" s="3">
        <v>1</v>
      </c>
    </row>
    <row r="78" spans="1:5" x14ac:dyDescent="0.25">
      <c r="A78" t="s">
        <v>213</v>
      </c>
      <c r="E78" s="6" t="s">
        <v>14</v>
      </c>
    </row>
    <row r="79" spans="1:5" x14ac:dyDescent="0.25">
      <c r="A79" t="s">
        <v>324</v>
      </c>
      <c r="E79" s="3">
        <v>20</v>
      </c>
    </row>
    <row r="80" spans="1:5" x14ac:dyDescent="0.25">
      <c r="A80" t="s">
        <v>214</v>
      </c>
      <c r="E80" s="3">
        <v>0</v>
      </c>
    </row>
    <row r="81" spans="1:5" x14ac:dyDescent="0.25">
      <c r="A81" t="s">
        <v>215</v>
      </c>
      <c r="E81" s="3">
        <v>0</v>
      </c>
    </row>
    <row r="82" spans="1:5" x14ac:dyDescent="0.25">
      <c r="A82" t="s">
        <v>216</v>
      </c>
      <c r="E82" s="3">
        <v>1</v>
      </c>
    </row>
    <row r="83" spans="1:5" x14ac:dyDescent="0.25">
      <c r="A83" t="s">
        <v>325</v>
      </c>
      <c r="E83" s="6" t="s">
        <v>6</v>
      </c>
    </row>
    <row r="84" spans="1:5" x14ac:dyDescent="0.25">
      <c r="A84" t="s">
        <v>326</v>
      </c>
      <c r="E84" s="3">
        <v>30</v>
      </c>
    </row>
    <row r="85" spans="1:5" x14ac:dyDescent="0.25">
      <c r="A85" t="s">
        <v>217</v>
      </c>
      <c r="E85" s="3">
        <v>0</v>
      </c>
    </row>
    <row r="86" spans="1:5" x14ac:dyDescent="0.25">
      <c r="A86" t="s">
        <v>218</v>
      </c>
      <c r="E86" s="3">
        <v>-5</v>
      </c>
    </row>
    <row r="87" spans="1:5" x14ac:dyDescent="0.25">
      <c r="A87" t="s">
        <v>219</v>
      </c>
      <c r="E87" s="3">
        <v>0</v>
      </c>
    </row>
    <row r="88" spans="1:5" x14ac:dyDescent="0.25">
      <c r="A88" t="s">
        <v>220</v>
      </c>
      <c r="E88" s="3">
        <v>0</v>
      </c>
    </row>
    <row r="89" spans="1:5" x14ac:dyDescent="0.25">
      <c r="A89" t="s">
        <v>221</v>
      </c>
      <c r="E89" s="3">
        <v>1</v>
      </c>
    </row>
    <row r="90" spans="1:5" x14ac:dyDescent="0.25">
      <c r="A90" t="s">
        <v>222</v>
      </c>
      <c r="E90" s="3">
        <v>0</v>
      </c>
    </row>
    <row r="91" spans="1:5" x14ac:dyDescent="0.25">
      <c r="A91" t="s">
        <v>223</v>
      </c>
      <c r="E91" s="6" t="s">
        <v>9</v>
      </c>
    </row>
    <row r="92" spans="1:5" x14ac:dyDescent="0.25">
      <c r="A92" t="s">
        <v>224</v>
      </c>
      <c r="E92" s="3">
        <v>0</v>
      </c>
    </row>
    <row r="93" spans="1:5" x14ac:dyDescent="0.25">
      <c r="A93" t="s">
        <v>225</v>
      </c>
      <c r="E93" s="3">
        <v>0</v>
      </c>
    </row>
    <row r="94" spans="1:5" x14ac:dyDescent="0.25">
      <c r="A94" t="s">
        <v>327</v>
      </c>
      <c r="E94" s="6" t="s">
        <v>25</v>
      </c>
    </row>
    <row r="95" spans="1:5" x14ac:dyDescent="0.25">
      <c r="A95" t="s">
        <v>226</v>
      </c>
      <c r="E95" s="3">
        <v>0</v>
      </c>
    </row>
    <row r="96" spans="1:5" x14ac:dyDescent="0.25">
      <c r="A96" t="s">
        <v>227</v>
      </c>
      <c r="E96" s="3">
        <v>0</v>
      </c>
    </row>
    <row r="97" spans="1:5" x14ac:dyDescent="0.25">
      <c r="A97" t="s">
        <v>228</v>
      </c>
      <c r="E97" s="3">
        <v>2</v>
      </c>
    </row>
    <row r="98" spans="1:5" x14ac:dyDescent="0.25">
      <c r="A98" t="s">
        <v>229</v>
      </c>
      <c r="E98" s="6" t="s">
        <v>5</v>
      </c>
    </row>
    <row r="99" spans="1:5" x14ac:dyDescent="0.25">
      <c r="A99" t="s">
        <v>230</v>
      </c>
      <c r="E99" s="5">
        <v>1</v>
      </c>
    </row>
    <row r="100" spans="1:5" x14ac:dyDescent="0.25">
      <c r="A100" t="s">
        <v>231</v>
      </c>
      <c r="E100" s="3" t="s">
        <v>2</v>
      </c>
    </row>
    <row r="101" spans="1:5" x14ac:dyDescent="0.25">
      <c r="A101" t="s">
        <v>328</v>
      </c>
      <c r="E101" s="6" t="s">
        <v>333</v>
      </c>
    </row>
    <row r="102" spans="1:5" x14ac:dyDescent="0.25">
      <c r="A102" t="s">
        <v>329</v>
      </c>
      <c r="E102" s="3">
        <v>30</v>
      </c>
    </row>
    <row r="103" spans="1:5" x14ac:dyDescent="0.25">
      <c r="A103" t="s">
        <v>232</v>
      </c>
      <c r="E103" s="3">
        <v>0</v>
      </c>
    </row>
    <row r="104" spans="1:5" x14ac:dyDescent="0.25">
      <c r="A104" t="s">
        <v>233</v>
      </c>
      <c r="E104" s="3">
        <v>55</v>
      </c>
    </row>
    <row r="105" spans="1:5" x14ac:dyDescent="0.25">
      <c r="A105" t="s">
        <v>234</v>
      </c>
      <c r="E105" s="3">
        <v>0</v>
      </c>
    </row>
    <row r="106" spans="1:5" x14ac:dyDescent="0.25">
      <c r="A106" t="s">
        <v>235</v>
      </c>
      <c r="E106" s="5">
        <v>0.5</v>
      </c>
    </row>
    <row r="107" spans="1:5" x14ac:dyDescent="0.25">
      <c r="A107" t="s">
        <v>236</v>
      </c>
      <c r="E107" s="3">
        <v>0</v>
      </c>
    </row>
    <row r="108" spans="1:5" x14ac:dyDescent="0.25">
      <c r="A108" t="s">
        <v>237</v>
      </c>
      <c r="E108" s="3">
        <v>4</v>
      </c>
    </row>
    <row r="109" spans="1:5" x14ac:dyDescent="0.25">
      <c r="A109" t="s">
        <v>238</v>
      </c>
      <c r="E109" s="3" t="s">
        <v>21</v>
      </c>
    </row>
    <row r="110" spans="1:5" x14ac:dyDescent="0.25">
      <c r="A110" t="s">
        <v>330</v>
      </c>
      <c r="E110" s="6" t="s">
        <v>0</v>
      </c>
    </row>
    <row r="111" spans="1:5" x14ac:dyDescent="0.25">
      <c r="A111" t="s">
        <v>331</v>
      </c>
      <c r="E111" s="3">
        <v>20</v>
      </c>
    </row>
    <row r="112" spans="1:5" x14ac:dyDescent="0.25">
      <c r="A112" t="s">
        <v>332</v>
      </c>
      <c r="E112" s="3">
        <v>15</v>
      </c>
    </row>
    <row r="113" spans="1:5" x14ac:dyDescent="0.25">
      <c r="A113" t="s">
        <v>239</v>
      </c>
      <c r="E113" s="6" t="s">
        <v>23</v>
      </c>
    </row>
    <row r="114" spans="1:5" x14ac:dyDescent="0.25">
      <c r="A114" t="s">
        <v>240</v>
      </c>
      <c r="E114" s="3">
        <v>180</v>
      </c>
    </row>
    <row r="115" spans="1:5" x14ac:dyDescent="0.25">
      <c r="A115" t="s">
        <v>241</v>
      </c>
      <c r="E115" s="3">
        <v>1</v>
      </c>
    </row>
    <row r="116" spans="1:5" x14ac:dyDescent="0.25">
      <c r="A116" t="s">
        <v>242</v>
      </c>
      <c r="E116" s="3">
        <v>10</v>
      </c>
    </row>
    <row r="117" spans="1:5" x14ac:dyDescent="0.25">
      <c r="A117" t="s">
        <v>243</v>
      </c>
      <c r="E117" s="3">
        <v>0</v>
      </c>
    </row>
    <row r="118" spans="1:5" x14ac:dyDescent="0.25">
      <c r="A118" t="s">
        <v>244</v>
      </c>
      <c r="E118" s="3">
        <v>0</v>
      </c>
    </row>
    <row r="119" spans="1:5" x14ac:dyDescent="0.25">
      <c r="A119" t="s">
        <v>245</v>
      </c>
      <c r="E119" s="3">
        <v>60</v>
      </c>
    </row>
    <row r="120" spans="1:5" x14ac:dyDescent="0.25">
      <c r="A120" t="s">
        <v>246</v>
      </c>
      <c r="E120" s="3">
        <v>170</v>
      </c>
    </row>
    <row r="121" spans="1:5" x14ac:dyDescent="0.25">
      <c r="A121" t="s">
        <v>247</v>
      </c>
      <c r="E121" s="3">
        <v>125</v>
      </c>
    </row>
    <row r="122" spans="1:5" x14ac:dyDescent="0.25">
      <c r="A122" t="s">
        <v>248</v>
      </c>
      <c r="E122" s="3">
        <v>0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Settings">
                <anchor moveWithCells="1" sizeWithCells="1">
                  <from>
                    <xdr:col>8</xdr:col>
                    <xdr:colOff>123825</xdr:colOff>
                    <xdr:row>0</xdr:row>
                    <xdr:rowOff>76200</xdr:rowOff>
                  </from>
                  <to>
                    <xdr:col>9</xdr:col>
                    <xdr:colOff>676275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Configurations</vt:lpstr>
      <vt:lpstr>Import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Gerald Gradl</dc:creator>
  <cp:lastModifiedBy>Gerald Gradl</cp:lastModifiedBy>
  <dcterms:created xsi:type="dcterms:W3CDTF">2021-02-01T07:41:47Z</dcterms:created>
  <dcterms:modified xsi:type="dcterms:W3CDTF">2021-02-09T20:10:58Z</dcterms:modified>
</cp:coreProperties>
</file>